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uzdelsurlds-my.sharepoint.com/personal/roquispec_luzdelsur_com_pe/Documents/Documentos/Estudios de Ingreso/ProyectoR&amp;D/"/>
    </mc:Choice>
  </mc:AlternateContent>
  <xr:revisionPtr revIDLastSave="31" documentId="8_{16CBD4E5-C369-4D4A-B897-BDB68A7EE3BC}" xr6:coauthVersionLast="47" xr6:coauthVersionMax="47" xr10:uidLastSave="{7330E885-3E44-444A-90C2-1E75E4B641C9}"/>
  <bookViews>
    <workbookView xWindow="-120" yWindow="-120" windowWidth="29040" windowHeight="15840" xr2:uid="{7710FAF1-5072-4D5C-A8B4-F16733474301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E4" i="1" l="1"/>
  <c r="AY4" i="1"/>
  <c r="AP4" i="1"/>
  <c r="AG4" i="1"/>
  <c r="P4" i="1"/>
  <c r="K4" i="1"/>
  <c r="F4" i="1"/>
  <c r="C4" i="1"/>
  <c r="C10" i="1"/>
  <c r="C13" i="1" s="1"/>
  <c r="C17" i="1" s="1"/>
  <c r="D7" i="1"/>
  <c r="E7" i="1" s="1"/>
  <c r="D10" i="1" l="1"/>
  <c r="E10" i="1" s="1"/>
  <c r="C16" i="1"/>
  <c r="C18" i="1"/>
  <c r="C19" i="1" s="1"/>
  <c r="C20" i="1" s="1"/>
  <c r="C21" i="1" s="1"/>
  <c r="C24" i="1" s="1"/>
  <c r="D13" i="1" l="1"/>
  <c r="E13" i="1" s="1"/>
  <c r="C23" i="1"/>
  <c r="C25" i="1"/>
  <c r="C26" i="1" s="1"/>
  <c r="C29" i="1" s="1"/>
  <c r="D17" i="1" l="1"/>
  <c r="E17" i="1" s="1"/>
  <c r="C28" i="1"/>
  <c r="C30" i="1"/>
  <c r="C31" i="1" s="1"/>
  <c r="C34" i="1" s="1"/>
  <c r="D18" i="1" l="1"/>
  <c r="E18" i="1" s="1"/>
  <c r="C33" i="1"/>
  <c r="C35" i="1"/>
  <c r="C38" i="1" s="1"/>
  <c r="D19" i="1" l="1"/>
  <c r="E19" i="1" s="1"/>
  <c r="C37" i="1"/>
  <c r="C39" i="1"/>
  <c r="C40" i="1" s="1"/>
  <c r="C41" i="1" s="1"/>
  <c r="C42" i="1" s="1"/>
  <c r="D20" i="1" l="1"/>
  <c r="E20" i="1" s="1"/>
  <c r="E16" i="1" s="1"/>
  <c r="D21" i="1" l="1"/>
  <c r="D24" i="1" l="1"/>
  <c r="E24" i="1" s="1"/>
  <c r="D16" i="1"/>
  <c r="D25" i="1" l="1"/>
  <c r="D26" i="1" l="1"/>
  <c r="E26" i="1" s="1"/>
  <c r="E23" i="1" s="1"/>
  <c r="D29" i="1" l="1"/>
  <c r="E29" i="1" s="1"/>
  <c r="D23" i="1"/>
  <c r="D30" i="1" l="1"/>
  <c r="E30" i="1" s="1"/>
  <c r="E28" i="1" s="1"/>
  <c r="D31" i="1" l="1"/>
  <c r="D34" i="1" l="1"/>
  <c r="E34" i="1" s="1"/>
  <c r="E33" i="1" s="1"/>
  <c r="D28" i="1"/>
  <c r="D35" i="1" l="1"/>
  <c r="D38" i="1" l="1"/>
  <c r="E38" i="1" s="1"/>
  <c r="E37" i="1" s="1"/>
  <c r="D33" i="1"/>
  <c r="D39" i="1" l="1"/>
  <c r="D40" i="1" l="1"/>
  <c r="D41" i="1" l="1"/>
  <c r="D42" i="1" l="1"/>
  <c r="D37" i="1" l="1"/>
  <c r="E4" i="1" s="1"/>
  <c r="D4" i="1"/>
</calcChain>
</file>

<file path=xl/sharedStrings.xml><?xml version="1.0" encoding="utf-8"?>
<sst xmlns="http://schemas.openxmlformats.org/spreadsheetml/2006/main" count="51" uniqueCount="39">
  <si>
    <t>Cronograma de proyecto R&amp;D</t>
  </si>
  <si>
    <t>Inicio</t>
  </si>
  <si>
    <t>Fin</t>
  </si>
  <si>
    <t>Días</t>
  </si>
  <si>
    <t>Sistema de monitoreo de salud de transformadores de potencia</t>
  </si>
  <si>
    <t>Inicio de ejecución - Programación de algoritmo</t>
  </si>
  <si>
    <t>1. Indice de salud de transformador</t>
  </si>
  <si>
    <t>1.1 Indice de salud de transformador</t>
  </si>
  <si>
    <t>Script Python</t>
  </si>
  <si>
    <t>2. Análisis de Gases Disueltos</t>
  </si>
  <si>
    <t>2.1 Análisis de Gases Disueltos</t>
  </si>
  <si>
    <t>3. Condición de Aislamiento Líquido</t>
  </si>
  <si>
    <t>3.1 Análisis Físico Químico</t>
  </si>
  <si>
    <t>4. Condición de Aislamiento Sólido</t>
  </si>
  <si>
    <t>4.1 Vida utilizada</t>
  </si>
  <si>
    <t>4.2 Energía acumulada</t>
  </si>
  <si>
    <t>4.3 Furanos</t>
  </si>
  <si>
    <t>4.4 Factor de potencia de devanados</t>
  </si>
  <si>
    <t>4.5 Capacitancia de devanados</t>
  </si>
  <si>
    <t>5. Condición de Arrollamiento</t>
  </si>
  <si>
    <t>5.1 Resistencia óhmica de devanados</t>
  </si>
  <si>
    <t>5.2 Relación de transformación</t>
  </si>
  <si>
    <t>5.3 Reactancia de dispersión</t>
  </si>
  <si>
    <t>6. Condición de Núcleo</t>
  </si>
  <si>
    <t>6.1 Sobreexcitación de núcleo</t>
  </si>
  <si>
    <t>6.2 Corriente de excitación</t>
  </si>
  <si>
    <t>6.3 Resistencia de aislamiento a tierra del núcleo</t>
  </si>
  <si>
    <t>7. Condición de Conmutador</t>
  </si>
  <si>
    <t>7.1 Aceite OLTC</t>
  </si>
  <si>
    <t>7.2 Relación de transformación</t>
  </si>
  <si>
    <t>8. Condición de Bushing</t>
  </si>
  <si>
    <t>8.1 Factor de potencia de bushing C1</t>
  </si>
  <si>
    <t>8.2 Factor de potencia de bushing C2</t>
  </si>
  <si>
    <t>8.3 Capacitancia de bushing C1</t>
  </si>
  <si>
    <t>8.4 Capacitancia de bushing C2</t>
  </si>
  <si>
    <t>8.5 Collar caliente</t>
  </si>
  <si>
    <t>5 días</t>
  </si>
  <si>
    <t>20 días</t>
  </si>
  <si>
    <t>10 días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</si>
</sst>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 tint="0.499984740745262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/>
    <xf numFmtId="0" fontId="0" fillId="0" borderId="0" xfId="0" applyAlignment="1">
      <alignment horizontal="left" indent="2"/>
    </xf>
    <xf numFmtId="0" fontId="1" fillId="0" borderId="0" xfId="0" applyFont="1"/>
    <xf numFmtId="0" fontId="1" fillId="2" borderId="0" xfId="0" applyFont="1" applyFill="1"/>
    <xf numFmtId="0" fontId="0" fillId="2" borderId="0" xfId="0" applyFill="1" applyAlignment="1">
      <alignment horizontal="center" vertical="center"/>
    </xf>
    <xf numFmtId="14" fontId="0" fillId="2" borderId="0" xfId="0" applyNumberFormat="1" applyFill="1" applyAlignment="1">
      <alignment horizontal="center" vertical="center"/>
    </xf>
    <xf numFmtId="0" fontId="0" fillId="3" borderId="0" xfId="0" applyFill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4" borderId="0" xfId="0" applyFill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Fill="1" applyAlignment="1">
      <alignment horizontal="right"/>
    </xf>
    <xf numFmtId="0" fontId="0" fillId="6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7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6D3CB-108B-4027-AD83-C2AD9DB1964C}">
  <dimension ref="B2:BI43"/>
  <sheetViews>
    <sheetView showGridLines="0" tabSelected="1" zoomScale="89" workbookViewId="0">
      <pane xSplit="5" topLeftCell="F1" activePane="topRight" state="frozen"/>
      <selection pane="topRight" activeCell="M14" sqref="M14"/>
    </sheetView>
  </sheetViews>
  <sheetFormatPr baseColWidth="10" defaultColWidth="11.42578125" defaultRowHeight="15" x14ac:dyDescent="0.25"/>
  <cols>
    <col min="1" max="1" width="3.7109375" customWidth="1"/>
    <col min="2" max="2" width="58.42578125" bestFit="1" customWidth="1"/>
    <col min="3" max="4" width="11.42578125" bestFit="1" customWidth="1"/>
    <col min="5" max="5" width="4.85546875" bestFit="1" customWidth="1"/>
    <col min="6" max="9" width="3.7109375" customWidth="1"/>
    <col min="10" max="10" width="0.85546875" customWidth="1"/>
    <col min="11" max="14" width="3.7109375" customWidth="1"/>
    <col min="15" max="15" width="0.85546875" customWidth="1"/>
    <col min="16" max="31" width="3.7109375" customWidth="1"/>
    <col min="32" max="32" width="0.85546875" customWidth="1"/>
    <col min="33" max="40" width="3.7109375" customWidth="1"/>
    <col min="41" max="41" width="0.85546875" customWidth="1"/>
    <col min="42" max="49" width="3.7109375" customWidth="1"/>
    <col min="50" max="50" width="0.85546875" customWidth="1"/>
    <col min="51" max="55" width="3.7109375" customWidth="1"/>
    <col min="56" max="56" width="0.5703125" customWidth="1"/>
    <col min="57" max="191" width="3.7109375" customWidth="1"/>
  </cols>
  <sheetData>
    <row r="2" spans="2:61" x14ac:dyDescent="0.25">
      <c r="B2" s="6" t="s">
        <v>0</v>
      </c>
      <c r="C2" s="7" t="s">
        <v>1</v>
      </c>
      <c r="D2" s="7" t="s">
        <v>2</v>
      </c>
      <c r="E2" s="7" t="s">
        <v>3</v>
      </c>
    </row>
    <row r="3" spans="2:61" x14ac:dyDescent="0.25">
      <c r="B3" s="5"/>
      <c r="C3" s="1"/>
      <c r="D3" s="1"/>
      <c r="E3" s="10"/>
    </row>
    <row r="4" spans="2:61" x14ac:dyDescent="0.25">
      <c r="B4" s="5" t="s">
        <v>4</v>
      </c>
      <c r="C4" s="2">
        <f>+C7</f>
        <v>45894</v>
      </c>
      <c r="D4" s="2">
        <f>+D42</f>
        <v>45975</v>
      </c>
      <c r="E4" s="12">
        <f>+SUM(E7,E10,E13,E16,E23,E28,E33,E37)</f>
        <v>65</v>
      </c>
      <c r="F4" s="15" t="str">
        <f>+F7</f>
        <v>5 días</v>
      </c>
      <c r="G4" s="15"/>
      <c r="H4" s="15"/>
      <c r="I4" s="15"/>
      <c r="K4" s="15" t="str">
        <f>+K10</f>
        <v>5 días</v>
      </c>
      <c r="L4" s="15"/>
      <c r="M4" s="15"/>
      <c r="N4" s="15"/>
      <c r="P4" s="17" t="str">
        <f>+P16</f>
        <v>20 días</v>
      </c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G4" s="18" t="str">
        <f>+AG23</f>
        <v>10 días</v>
      </c>
      <c r="AH4" s="18"/>
      <c r="AI4" s="18"/>
      <c r="AJ4" s="18"/>
      <c r="AK4" s="18"/>
      <c r="AL4" s="18"/>
      <c r="AM4" s="18"/>
      <c r="AN4" s="18"/>
      <c r="AP4" s="18" t="str">
        <f>+AP28</f>
        <v>10 días</v>
      </c>
      <c r="AQ4" s="18"/>
      <c r="AR4" s="18"/>
      <c r="AS4" s="18"/>
      <c r="AT4" s="18"/>
      <c r="AU4" s="18"/>
      <c r="AV4" s="18"/>
      <c r="AW4" s="18"/>
      <c r="AY4" s="15" t="str">
        <f>+AY33</f>
        <v>5 días</v>
      </c>
      <c r="AZ4" s="15"/>
      <c r="BA4" s="15"/>
      <c r="BB4" s="15"/>
      <c r="BC4" s="15"/>
      <c r="BE4" s="15" t="str">
        <f>+BD37</f>
        <v>5 días</v>
      </c>
      <c r="BF4" s="15"/>
      <c r="BG4" s="15"/>
      <c r="BH4" s="15"/>
      <c r="BI4" s="15"/>
    </row>
    <row r="5" spans="2:61" x14ac:dyDescent="0.25">
      <c r="B5" s="5"/>
      <c r="C5" s="1"/>
      <c r="D5" s="1"/>
    </row>
    <row r="6" spans="2:61" x14ac:dyDescent="0.25">
      <c r="B6" s="5" t="s">
        <v>5</v>
      </c>
      <c r="C6" s="1"/>
      <c r="D6" s="1"/>
    </row>
    <row r="7" spans="2:61" x14ac:dyDescent="0.25">
      <c r="B7" s="6" t="s">
        <v>6</v>
      </c>
      <c r="C7" s="8">
        <v>45894</v>
      </c>
      <c r="D7" s="8">
        <f>+C7+4</f>
        <v>45898</v>
      </c>
      <c r="E7" s="12">
        <f>+_xlfn.DAYS(D7,C7)+1</f>
        <v>5</v>
      </c>
      <c r="F7" s="16" t="s">
        <v>36</v>
      </c>
      <c r="G7" s="16"/>
      <c r="H7" s="16"/>
      <c r="I7" s="16"/>
      <c r="L7" s="3"/>
    </row>
    <row r="8" spans="2:61" x14ac:dyDescent="0.25">
      <c r="B8" s="4" t="s">
        <v>7</v>
      </c>
      <c r="C8" s="2"/>
      <c r="D8" s="2"/>
      <c r="F8" s="9"/>
      <c r="G8" s="9"/>
      <c r="H8" s="9"/>
      <c r="I8" s="9"/>
      <c r="J8" s="9"/>
      <c r="L8" s="3"/>
    </row>
    <row r="9" spans="2:61" x14ac:dyDescent="0.25">
      <c r="B9" s="13" t="s">
        <v>8</v>
      </c>
      <c r="C9" s="1"/>
      <c r="D9" s="1"/>
      <c r="E9" s="10"/>
      <c r="J9" s="9"/>
    </row>
    <row r="10" spans="2:61" x14ac:dyDescent="0.25">
      <c r="B10" s="6" t="s">
        <v>9</v>
      </c>
      <c r="C10" s="8">
        <f>+C7+7</f>
        <v>45901</v>
      </c>
      <c r="D10" s="8">
        <f>+D7+7</f>
        <v>45905</v>
      </c>
      <c r="E10" s="12">
        <f>+_xlfn.DAYS(D10,C10)+1</f>
        <v>5</v>
      </c>
      <c r="J10" s="9"/>
      <c r="K10" s="16" t="s">
        <v>36</v>
      </c>
      <c r="L10" s="16"/>
      <c r="M10" s="16"/>
      <c r="N10" s="16"/>
    </row>
    <row r="11" spans="2:61" x14ac:dyDescent="0.25">
      <c r="B11" s="4" t="s">
        <v>10</v>
      </c>
      <c r="C11" s="1"/>
      <c r="D11" s="1"/>
      <c r="E11" s="10"/>
      <c r="J11" s="9"/>
      <c r="K11" s="9"/>
      <c r="L11" s="9"/>
      <c r="M11" s="9"/>
      <c r="N11" s="9"/>
      <c r="O11" s="9"/>
    </row>
    <row r="12" spans="2:61" x14ac:dyDescent="0.25">
      <c r="B12" s="13" t="s">
        <v>8</v>
      </c>
      <c r="C12" s="1"/>
      <c r="D12" s="1"/>
      <c r="E12" s="10"/>
    </row>
    <row r="13" spans="2:61" x14ac:dyDescent="0.25">
      <c r="B13" s="6" t="s">
        <v>11</v>
      </c>
      <c r="C13" s="8">
        <f>+C10</f>
        <v>45901</v>
      </c>
      <c r="D13" s="8">
        <f>+D10</f>
        <v>45905</v>
      </c>
      <c r="E13" s="12">
        <f>+_xlfn.DAYS(D13,C13)+1</f>
        <v>5</v>
      </c>
      <c r="K13" s="16" t="s">
        <v>36</v>
      </c>
      <c r="L13" s="16"/>
      <c r="M13" s="16"/>
      <c r="N13" s="16"/>
    </row>
    <row r="14" spans="2:61" x14ac:dyDescent="0.25">
      <c r="B14" s="4" t="s">
        <v>12</v>
      </c>
      <c r="C14" s="1"/>
      <c r="D14" s="1"/>
      <c r="E14" s="10"/>
      <c r="K14" s="9"/>
      <c r="L14" s="9"/>
      <c r="M14" s="9"/>
      <c r="N14" s="9"/>
      <c r="O14" s="9"/>
    </row>
    <row r="15" spans="2:61" x14ac:dyDescent="0.25">
      <c r="B15" s="13" t="s">
        <v>8</v>
      </c>
      <c r="C15" s="1"/>
      <c r="D15" s="1"/>
      <c r="E15" s="10"/>
      <c r="O15" s="9"/>
    </row>
    <row r="16" spans="2:61" x14ac:dyDescent="0.25">
      <c r="B16" s="6" t="s">
        <v>13</v>
      </c>
      <c r="C16" s="8">
        <f>+C17</f>
        <v>45908</v>
      </c>
      <c r="D16" s="8">
        <f>+D21</f>
        <v>45933</v>
      </c>
      <c r="E16" s="12">
        <f>+SUM(E17:E21)</f>
        <v>20</v>
      </c>
      <c r="G16" s="3"/>
      <c r="I16" s="3"/>
      <c r="J16" s="3"/>
      <c r="O16" s="9"/>
      <c r="P16" s="16" t="s">
        <v>37</v>
      </c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</row>
    <row r="17" spans="2:50" x14ac:dyDescent="0.25">
      <c r="B17" s="4" t="s">
        <v>14</v>
      </c>
      <c r="C17" s="2">
        <f>+C13+7</f>
        <v>45908</v>
      </c>
      <c r="D17" s="2">
        <f>+D13+7</f>
        <v>45912</v>
      </c>
      <c r="E17" s="14">
        <f>+_xlfn.DAYS(D17,C17)+1</f>
        <v>5</v>
      </c>
      <c r="O17" s="9"/>
      <c r="P17" s="9"/>
      <c r="Q17" s="9"/>
      <c r="R17" s="9"/>
      <c r="S17" s="9"/>
    </row>
    <row r="18" spans="2:50" x14ac:dyDescent="0.25">
      <c r="B18" s="4" t="s">
        <v>15</v>
      </c>
      <c r="C18" s="2">
        <f t="shared" ref="C18:D20" si="0">+C17+7</f>
        <v>45915</v>
      </c>
      <c r="D18" s="2">
        <f t="shared" si="0"/>
        <v>45919</v>
      </c>
      <c r="E18" s="14">
        <f>+_xlfn.DAYS(D18,C18)+1</f>
        <v>5</v>
      </c>
      <c r="T18" s="9"/>
      <c r="U18" s="9"/>
      <c r="V18" s="9"/>
      <c r="W18" s="9"/>
    </row>
    <row r="19" spans="2:50" x14ac:dyDescent="0.25">
      <c r="B19" s="4" t="s">
        <v>16</v>
      </c>
      <c r="C19" s="2">
        <f t="shared" si="0"/>
        <v>45922</v>
      </c>
      <c r="D19" s="2">
        <f t="shared" si="0"/>
        <v>45926</v>
      </c>
      <c r="E19" s="14">
        <f>+_xlfn.DAYS(D19,C19)+1</f>
        <v>5</v>
      </c>
      <c r="X19" s="9"/>
      <c r="Y19" s="9"/>
      <c r="Z19" s="9"/>
      <c r="AA19" s="9"/>
    </row>
    <row r="20" spans="2:50" x14ac:dyDescent="0.25">
      <c r="B20" s="4" t="s">
        <v>17</v>
      </c>
      <c r="C20" s="2">
        <f t="shared" si="0"/>
        <v>45929</v>
      </c>
      <c r="D20" s="2">
        <f t="shared" si="0"/>
        <v>45933</v>
      </c>
      <c r="E20" s="14">
        <f>+_xlfn.DAYS(D20,C20)+1</f>
        <v>5</v>
      </c>
      <c r="I20" s="3"/>
      <c r="J20" s="3"/>
      <c r="AB20" s="9"/>
      <c r="AC20" s="9"/>
      <c r="AD20" s="9"/>
      <c r="AE20" s="9"/>
      <c r="AF20" s="9"/>
    </row>
    <row r="21" spans="2:50" x14ac:dyDescent="0.25">
      <c r="B21" s="4" t="s">
        <v>18</v>
      </c>
      <c r="C21" s="2">
        <f>+C20</f>
        <v>45929</v>
      </c>
      <c r="D21" s="2">
        <f>+D20</f>
        <v>45933</v>
      </c>
      <c r="E21" s="14"/>
      <c r="AB21" s="9"/>
      <c r="AC21" s="9"/>
      <c r="AD21" s="9"/>
      <c r="AE21" s="9"/>
      <c r="AF21" s="9"/>
    </row>
    <row r="22" spans="2:50" x14ac:dyDescent="0.25">
      <c r="B22" s="13" t="s">
        <v>8</v>
      </c>
      <c r="C22" s="2"/>
      <c r="D22" s="2"/>
      <c r="E22" s="10"/>
      <c r="AF22" s="9"/>
    </row>
    <row r="23" spans="2:50" x14ac:dyDescent="0.25">
      <c r="B23" s="6" t="s">
        <v>19</v>
      </c>
      <c r="C23" s="8">
        <f>+C24</f>
        <v>45936</v>
      </c>
      <c r="D23" s="8">
        <f>+D26</f>
        <v>45947</v>
      </c>
      <c r="E23" s="12">
        <f>+SUM(E24:E26)</f>
        <v>10</v>
      </c>
      <c r="AF23" s="9"/>
      <c r="AG23" s="16" t="s">
        <v>38</v>
      </c>
      <c r="AH23" s="16"/>
      <c r="AI23" s="16"/>
      <c r="AJ23" s="16"/>
      <c r="AK23" s="16"/>
      <c r="AL23" s="16"/>
      <c r="AM23" s="16"/>
      <c r="AN23" s="16"/>
    </row>
    <row r="24" spans="2:50" x14ac:dyDescent="0.25">
      <c r="B24" s="4" t="s">
        <v>20</v>
      </c>
      <c r="C24" s="2">
        <f>+C21+7</f>
        <v>45936</v>
      </c>
      <c r="D24" s="2">
        <f>+D21+7</f>
        <v>45940</v>
      </c>
      <c r="E24" s="14">
        <f>+_xlfn.DAYS(D24,C24)+1</f>
        <v>5</v>
      </c>
      <c r="AF24" s="9"/>
      <c r="AG24" s="9"/>
      <c r="AH24" s="9"/>
      <c r="AI24" s="9"/>
      <c r="AJ24" s="9"/>
    </row>
    <row r="25" spans="2:50" x14ac:dyDescent="0.25">
      <c r="B25" s="4" t="s">
        <v>21</v>
      </c>
      <c r="C25" s="2">
        <f>+C24</f>
        <v>45936</v>
      </c>
      <c r="D25" s="2">
        <f>+D24</f>
        <v>45940</v>
      </c>
      <c r="E25" s="11"/>
      <c r="AF25" s="9"/>
      <c r="AG25" s="9"/>
      <c r="AH25" s="9"/>
      <c r="AI25" s="9"/>
      <c r="AJ25" s="9"/>
    </row>
    <row r="26" spans="2:50" x14ac:dyDescent="0.25">
      <c r="B26" s="4" t="s">
        <v>22</v>
      </c>
      <c r="C26" s="2">
        <f>+C25+7</f>
        <v>45943</v>
      </c>
      <c r="D26" s="2">
        <f>+D25+7</f>
        <v>45947</v>
      </c>
      <c r="E26" s="14">
        <f>+_xlfn.DAYS(D26,C26)+1</f>
        <v>5</v>
      </c>
      <c r="AK26" s="9"/>
      <c r="AL26" s="9"/>
      <c r="AM26" s="9"/>
      <c r="AN26" s="9"/>
      <c r="AO26" s="9"/>
    </row>
    <row r="27" spans="2:50" x14ac:dyDescent="0.25">
      <c r="B27" s="13" t="s">
        <v>8</v>
      </c>
      <c r="C27" s="2"/>
      <c r="D27" s="2"/>
      <c r="E27" s="10"/>
      <c r="AO27" s="9"/>
    </row>
    <row r="28" spans="2:50" x14ac:dyDescent="0.25">
      <c r="B28" s="6" t="s">
        <v>23</v>
      </c>
      <c r="C28" s="8">
        <f>+C29</f>
        <v>45950</v>
      </c>
      <c r="D28" s="8">
        <f>+D31</f>
        <v>45961</v>
      </c>
      <c r="E28" s="12">
        <f>+SUM(E29:E31)</f>
        <v>10</v>
      </c>
      <c r="AO28" s="9"/>
      <c r="AP28" s="16" t="s">
        <v>38</v>
      </c>
      <c r="AQ28" s="16"/>
      <c r="AR28" s="16"/>
      <c r="AS28" s="16"/>
      <c r="AT28" s="16"/>
      <c r="AU28" s="16"/>
      <c r="AV28" s="16"/>
      <c r="AW28" s="16"/>
    </row>
    <row r="29" spans="2:50" x14ac:dyDescent="0.25">
      <c r="B29" s="4" t="s">
        <v>24</v>
      </c>
      <c r="C29" s="2">
        <f>+C26+7</f>
        <v>45950</v>
      </c>
      <c r="D29" s="2">
        <f>+D26+7</f>
        <v>45954</v>
      </c>
      <c r="E29" s="14">
        <f>+_xlfn.DAYS(D29,C29)+1</f>
        <v>5</v>
      </c>
      <c r="AO29" s="9"/>
      <c r="AP29" s="9"/>
      <c r="AQ29" s="9"/>
      <c r="AR29" s="9"/>
      <c r="AS29" s="9"/>
    </row>
    <row r="30" spans="2:50" x14ac:dyDescent="0.25">
      <c r="B30" s="4" t="s">
        <v>25</v>
      </c>
      <c r="C30" s="2">
        <f>+C29+7</f>
        <v>45957</v>
      </c>
      <c r="D30" s="2">
        <f>+D29+7</f>
        <v>45961</v>
      </c>
      <c r="E30" s="14">
        <f>+_xlfn.DAYS(D30,C30)+1</f>
        <v>5</v>
      </c>
      <c r="AT30" s="9"/>
      <c r="AU30" s="9"/>
      <c r="AV30" s="9"/>
      <c r="AW30" s="9"/>
      <c r="AX30" s="9"/>
    </row>
    <row r="31" spans="2:50" x14ac:dyDescent="0.25">
      <c r="B31" s="4" t="s">
        <v>26</v>
      </c>
      <c r="C31" s="2">
        <f>+C30</f>
        <v>45957</v>
      </c>
      <c r="D31" s="2">
        <f>+D30</f>
        <v>45961</v>
      </c>
      <c r="E31" s="14"/>
      <c r="AT31" s="9"/>
      <c r="AU31" s="9"/>
      <c r="AV31" s="9"/>
      <c r="AW31" s="9"/>
      <c r="AX31" s="9"/>
    </row>
    <row r="32" spans="2:50" x14ac:dyDescent="0.25">
      <c r="B32" s="13" t="s">
        <v>8</v>
      </c>
      <c r="C32" s="1"/>
      <c r="D32" s="1"/>
      <c r="E32" s="10"/>
      <c r="AX32" s="9"/>
    </row>
    <row r="33" spans="2:61" x14ac:dyDescent="0.25">
      <c r="B33" s="6" t="s">
        <v>27</v>
      </c>
      <c r="C33" s="8">
        <f>+C34</f>
        <v>45964</v>
      </c>
      <c r="D33" s="8">
        <f>+D35</f>
        <v>45968</v>
      </c>
      <c r="E33" s="12">
        <f>+SUM(E34)</f>
        <v>5</v>
      </c>
      <c r="AX33" s="9"/>
      <c r="AY33" s="16" t="s">
        <v>36</v>
      </c>
      <c r="AZ33" s="16"/>
      <c r="BA33" s="16"/>
      <c r="BB33" s="16"/>
      <c r="BC33" s="16"/>
    </row>
    <row r="34" spans="2:61" x14ac:dyDescent="0.25">
      <c r="B34" s="4" t="s">
        <v>28</v>
      </c>
      <c r="C34" s="2">
        <f>+C31+7</f>
        <v>45964</v>
      </c>
      <c r="D34" s="2">
        <f>+D31+7</f>
        <v>45968</v>
      </c>
      <c r="E34" s="14">
        <f>+_xlfn.DAYS(D34,C34)+1</f>
        <v>5</v>
      </c>
      <c r="AX34" s="9"/>
      <c r="AY34" s="9"/>
      <c r="AZ34" s="9"/>
      <c r="BA34" s="9"/>
      <c r="BB34" s="9"/>
      <c r="BC34" s="9"/>
    </row>
    <row r="35" spans="2:61" x14ac:dyDescent="0.25">
      <c r="B35" s="4" t="s">
        <v>29</v>
      </c>
      <c r="C35" s="2">
        <f>+C34</f>
        <v>45964</v>
      </c>
      <c r="D35" s="2">
        <f>+D34</f>
        <v>45968</v>
      </c>
      <c r="E35" s="14"/>
      <c r="AX35" s="9"/>
      <c r="AY35" s="9"/>
      <c r="AZ35" s="9"/>
      <c r="BA35" s="9"/>
      <c r="BB35" s="9"/>
      <c r="BC35" s="9"/>
    </row>
    <row r="36" spans="2:61" x14ac:dyDescent="0.25">
      <c r="B36" s="13" t="s">
        <v>8</v>
      </c>
      <c r="C36" s="1"/>
      <c r="D36" s="1"/>
      <c r="E36" s="10"/>
    </row>
    <row r="37" spans="2:61" x14ac:dyDescent="0.25">
      <c r="B37" s="6" t="s">
        <v>30</v>
      </c>
      <c r="C37" s="8">
        <f>+C38</f>
        <v>45971</v>
      </c>
      <c r="D37" s="8">
        <f>+D42</f>
        <v>45975</v>
      </c>
      <c r="E37" s="12">
        <f>+SUM(E38:E42)</f>
        <v>5</v>
      </c>
      <c r="BD37" s="16" t="s">
        <v>36</v>
      </c>
      <c r="BE37" s="16"/>
      <c r="BF37" s="16"/>
      <c r="BG37" s="16"/>
      <c r="BH37" s="16"/>
      <c r="BI37" s="16"/>
    </row>
    <row r="38" spans="2:61" x14ac:dyDescent="0.25">
      <c r="B38" s="4" t="s">
        <v>31</v>
      </c>
      <c r="C38" s="2">
        <f>+C35+7</f>
        <v>45971</v>
      </c>
      <c r="D38" s="2">
        <f>+D35+7</f>
        <v>45975</v>
      </c>
      <c r="E38" s="14">
        <f>+_xlfn.DAYS(D38,C38)+1</f>
        <v>5</v>
      </c>
      <c r="BD38" s="9"/>
      <c r="BE38" s="9"/>
      <c r="BF38" s="9"/>
      <c r="BG38" s="9"/>
      <c r="BH38" s="9"/>
      <c r="BI38" s="9"/>
    </row>
    <row r="39" spans="2:61" x14ac:dyDescent="0.25">
      <c r="B39" s="4" t="s">
        <v>32</v>
      </c>
      <c r="C39" s="2">
        <f>+C38</f>
        <v>45971</v>
      </c>
      <c r="D39" s="2">
        <f>+D38</f>
        <v>45975</v>
      </c>
      <c r="E39" s="11"/>
      <c r="BD39" s="9"/>
      <c r="BE39" s="9"/>
      <c r="BF39" s="9"/>
      <c r="BG39" s="9"/>
      <c r="BH39" s="9"/>
      <c r="BI39" s="9"/>
    </row>
    <row r="40" spans="2:61" x14ac:dyDescent="0.25">
      <c r="B40" s="4" t="s">
        <v>33</v>
      </c>
      <c r="C40" s="2">
        <f t="shared" ref="C40:C42" si="1">+C39</f>
        <v>45971</v>
      </c>
      <c r="D40" s="2">
        <f t="shared" ref="D40:D42" si="2">+D39</f>
        <v>45975</v>
      </c>
      <c r="E40" s="11"/>
      <c r="BD40" s="9"/>
      <c r="BE40" s="9"/>
      <c r="BF40" s="9"/>
      <c r="BG40" s="9"/>
      <c r="BH40" s="9"/>
      <c r="BI40" s="9"/>
    </row>
    <row r="41" spans="2:61" x14ac:dyDescent="0.25">
      <c r="B41" s="4" t="s">
        <v>34</v>
      </c>
      <c r="C41" s="2">
        <f t="shared" si="1"/>
        <v>45971</v>
      </c>
      <c r="D41" s="2">
        <f t="shared" si="2"/>
        <v>45975</v>
      </c>
      <c r="E41" s="11"/>
      <c r="BD41" s="9"/>
      <c r="BE41" s="9"/>
      <c r="BF41" s="9"/>
      <c r="BG41" s="9"/>
      <c r="BH41" s="9"/>
      <c r="BI41" s="9"/>
    </row>
    <row r="42" spans="2:61" x14ac:dyDescent="0.25">
      <c r="B42" s="4" t="s">
        <v>35</v>
      </c>
      <c r="C42" s="2">
        <f t="shared" si="1"/>
        <v>45971</v>
      </c>
      <c r="D42" s="2">
        <f t="shared" si="2"/>
        <v>45975</v>
      </c>
      <c r="E42" s="11"/>
      <c r="BD42" s="9"/>
      <c r="BE42" s="9"/>
      <c r="BF42" s="9"/>
      <c r="BG42" s="9"/>
      <c r="BH42" s="9"/>
      <c r="BI42" s="9"/>
    </row>
    <row r="43" spans="2:61" x14ac:dyDescent="0.25">
      <c r="B43" s="13" t="s">
        <v>8</v>
      </c>
    </row>
  </sheetData>
  <mergeCells count="15">
    <mergeCell ref="AY4:BC4"/>
    <mergeCell ref="BD37:BI37"/>
    <mergeCell ref="BE4:BI4"/>
    <mergeCell ref="F4:I4"/>
    <mergeCell ref="K4:N4"/>
    <mergeCell ref="P4:AE4"/>
    <mergeCell ref="AG4:AN4"/>
    <mergeCell ref="AP4:AW4"/>
    <mergeCell ref="AY33:BC33"/>
    <mergeCell ref="F7:I7"/>
    <mergeCell ref="K10:N10"/>
    <mergeCell ref="K13:N13"/>
    <mergeCell ref="P16:AE16"/>
    <mergeCell ref="AG23:AN23"/>
    <mergeCell ref="AP28:AW28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Marco Ticllacuri Corpus</dc:creator>
  <cp:keywords/>
  <dc:description/>
  <cp:lastModifiedBy>Marco Ticllacuri Corpus</cp:lastModifiedBy>
  <cp:revision/>
  <dcterms:created xsi:type="dcterms:W3CDTF">2025-09-03T15:29:11Z</dcterms:created>
  <dcterms:modified xsi:type="dcterms:W3CDTF">2025-09-08T19:15:58Z</dcterms:modified>
  <cp:category/>
  <cp:contentStatus/>
</cp:coreProperties>
</file>