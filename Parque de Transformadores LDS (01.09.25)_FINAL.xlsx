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quispec\OneDrive - LUZ DEL SUR S.A.A\Documentos\Estudios de Ingreso\ProyectoRyD_V2\"/>
    </mc:Choice>
  </mc:AlternateContent>
  <xr:revisionPtr revIDLastSave="13" documentId="13_ncr:1_{998C58F0-E850-44D1-9B15-6091CB7859B0}" xr6:coauthVersionLast="36" xr6:coauthVersionMax="47" xr10:uidLastSave="{900DB8B8-263E-498A-9228-6F8A560CB646}"/>
  <bookViews>
    <workbookView xWindow="-120" yWindow="-16320" windowWidth="29040" windowHeight="15840" xr2:uid="{00000000-000D-0000-FFFF-FFFF00000000}"/>
  </bookViews>
  <sheets>
    <sheet name="Transformadores" sheetId="19" r:id="rId1"/>
    <sheet name="Hoja1" sheetId="38" r:id="rId2"/>
    <sheet name="Reservas Oficiales" sheetId="37" state="hidden" r:id="rId3"/>
    <sheet name="Osinergmin" sheetId="32" state="hidden" r:id="rId4"/>
    <sheet name="SST" sheetId="34" state="hidden" r:id="rId5"/>
    <sheet name="SCT" sheetId="35" state="hidden" r:id="rId6"/>
    <sheet name="Resumen" sheetId="36" state="hidden" r:id="rId7"/>
    <sheet name="Reservas" sheetId="33" state="hidden" r:id="rId8"/>
  </sheets>
  <definedNames>
    <definedName name="_xlnm._FilterDatabase" localSheetId="3" hidden="1">Osinergmin!$C$2:$R$73</definedName>
    <definedName name="_xlnm._FilterDatabase" localSheetId="2" hidden="1">'Reservas Oficiales'!$C$1:$L$24</definedName>
    <definedName name="_xlnm._FilterDatabase" localSheetId="0" hidden="1">Transformadores!$C$74:$X$146</definedName>
    <definedName name="sets">#REF!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77" i="32" l="1"/>
  <c r="U78" i="32"/>
  <c r="U79" i="32"/>
  <c r="U80" i="32"/>
  <c r="U81" i="32"/>
  <c r="U82" i="32"/>
  <c r="U83" i="32"/>
  <c r="U84" i="32"/>
  <c r="U85" i="32"/>
  <c r="U86" i="32"/>
  <c r="U4" i="32"/>
  <c r="U5" i="32"/>
  <c r="U6" i="32"/>
  <c r="U7" i="32"/>
  <c r="U8" i="32"/>
  <c r="U9" i="32"/>
  <c r="U10" i="32"/>
  <c r="U11" i="32"/>
  <c r="U12" i="32"/>
  <c r="U13" i="32"/>
  <c r="U14" i="32"/>
  <c r="U15" i="32"/>
  <c r="U16" i="32"/>
  <c r="U17" i="32"/>
  <c r="U18" i="32"/>
  <c r="U19" i="32"/>
  <c r="U20" i="32"/>
  <c r="U21" i="32"/>
  <c r="U22" i="32"/>
  <c r="U23" i="32"/>
  <c r="U24" i="32"/>
  <c r="U25" i="32"/>
  <c r="U26" i="32"/>
  <c r="U27" i="32"/>
  <c r="U28" i="32"/>
  <c r="U29" i="32"/>
  <c r="U30" i="32"/>
  <c r="U31" i="32"/>
  <c r="U32" i="32"/>
  <c r="U33" i="32"/>
  <c r="U34" i="32"/>
  <c r="U35" i="32"/>
  <c r="U36" i="32"/>
  <c r="U37" i="32"/>
  <c r="U38" i="32"/>
  <c r="U39" i="32"/>
  <c r="U40" i="32"/>
  <c r="U41" i="32"/>
  <c r="U42" i="32"/>
  <c r="U43" i="32"/>
  <c r="U44" i="32"/>
  <c r="U45" i="32"/>
  <c r="U46" i="32"/>
  <c r="U47" i="32"/>
  <c r="U48" i="32"/>
  <c r="U49" i="32"/>
  <c r="U50" i="32"/>
  <c r="U51" i="32"/>
  <c r="U52" i="32"/>
  <c r="U53" i="32"/>
  <c r="U54" i="32"/>
  <c r="U55" i="32"/>
  <c r="U56" i="32"/>
  <c r="U57" i="32"/>
  <c r="U58" i="32"/>
  <c r="U59" i="32"/>
  <c r="U60" i="32"/>
  <c r="U61" i="32"/>
  <c r="U62" i="32"/>
  <c r="U63" i="32"/>
  <c r="U64" i="32"/>
  <c r="U65" i="32"/>
  <c r="U66" i="32"/>
  <c r="U67" i="32"/>
  <c r="U68" i="32"/>
  <c r="U69" i="32"/>
  <c r="U70" i="32"/>
  <c r="U71" i="32"/>
  <c r="U72" i="32"/>
  <c r="U73" i="32"/>
  <c r="U3" i="32"/>
  <c r="D42" i="35"/>
  <c r="D43" i="35"/>
  <c r="D37" i="35"/>
  <c r="D38" i="35"/>
  <c r="D39" i="35"/>
  <c r="D36" i="35"/>
  <c r="D35" i="35"/>
  <c r="D34" i="35"/>
  <c r="D33" i="35"/>
  <c r="D32" i="35"/>
  <c r="D31" i="35"/>
  <c r="D30" i="35"/>
  <c r="D29" i="35"/>
  <c r="D28" i="35"/>
  <c r="D27" i="35"/>
  <c r="D26" i="35"/>
  <c r="D25" i="35"/>
  <c r="D24" i="35"/>
  <c r="D23" i="35"/>
  <c r="D22" i="35"/>
  <c r="D21" i="35"/>
  <c r="D20" i="35"/>
  <c r="D19" i="35"/>
  <c r="D18" i="35"/>
  <c r="D17" i="35"/>
  <c r="D16" i="35"/>
  <c r="D15" i="35"/>
  <c r="D14" i="35"/>
  <c r="D13" i="35"/>
  <c r="D12" i="35"/>
  <c r="D11" i="35"/>
  <c r="D10" i="35"/>
  <c r="D9" i="35"/>
  <c r="D8" i="35"/>
  <c r="D7" i="35"/>
  <c r="D6" i="35"/>
  <c r="D5" i="35"/>
  <c r="D4" i="35"/>
  <c r="D3" i="35"/>
  <c r="D40" i="34"/>
  <c r="D41" i="34"/>
  <c r="D42" i="34"/>
  <c r="D43" i="34"/>
  <c r="D44" i="34"/>
  <c r="D45" i="34"/>
  <c r="D46" i="34"/>
  <c r="D47" i="34"/>
  <c r="D39" i="34"/>
  <c r="D4" i="34"/>
  <c r="D5" i="34"/>
  <c r="D6" i="34"/>
  <c r="D7" i="34"/>
  <c r="D8" i="34"/>
  <c r="D9" i="34"/>
  <c r="D10" i="34"/>
  <c r="D11" i="34"/>
  <c r="D12" i="34"/>
  <c r="D13" i="34"/>
  <c r="D14" i="34"/>
  <c r="D15" i="34"/>
  <c r="D16" i="34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D35" i="34"/>
  <c r="D36" i="34"/>
  <c r="D3" i="34"/>
  <c r="G82" i="32"/>
  <c r="G86" i="32"/>
  <c r="G85" i="32"/>
  <c r="G84" i="32"/>
  <c r="G83" i="32"/>
  <c r="G81" i="32"/>
  <c r="G80" i="32"/>
  <c r="G79" i="32"/>
  <c r="G78" i="32"/>
  <c r="G77" i="32"/>
  <c r="G76" i="32"/>
  <c r="G4" i="32"/>
  <c r="G5" i="32"/>
  <c r="G6" i="32"/>
  <c r="G7" i="32"/>
  <c r="G8" i="32"/>
  <c r="G9" i="32"/>
  <c r="G10" i="32"/>
  <c r="G11" i="32"/>
  <c r="G12" i="32"/>
  <c r="G13" i="32"/>
  <c r="G14" i="32"/>
  <c r="G15" i="32"/>
  <c r="G16" i="32"/>
  <c r="G17" i="32"/>
  <c r="G18" i="32"/>
  <c r="G19" i="32"/>
  <c r="G20" i="32"/>
  <c r="G21" i="32"/>
  <c r="G22" i="32"/>
  <c r="G23" i="32"/>
  <c r="G24" i="32"/>
  <c r="G25" i="32"/>
  <c r="G26" i="32"/>
  <c r="G27" i="32"/>
  <c r="G28" i="32"/>
  <c r="G29" i="32"/>
  <c r="G30" i="32"/>
  <c r="G31" i="32"/>
  <c r="G32" i="32"/>
  <c r="G33" i="32"/>
  <c r="G34" i="32"/>
  <c r="G35" i="32"/>
  <c r="G36" i="32"/>
  <c r="G37" i="32"/>
  <c r="G38" i="32"/>
  <c r="G39" i="32"/>
  <c r="G40" i="32"/>
  <c r="G41" i="32"/>
  <c r="G42" i="32"/>
  <c r="G43" i="32"/>
  <c r="G44" i="32"/>
  <c r="G45" i="32"/>
  <c r="G46" i="32"/>
  <c r="G47" i="32"/>
  <c r="G48" i="32"/>
  <c r="G49" i="32"/>
  <c r="G50" i="32"/>
  <c r="G51" i="32"/>
  <c r="G52" i="32"/>
  <c r="G53" i="32"/>
  <c r="G54" i="32"/>
  <c r="G55" i="32"/>
  <c r="G56" i="32"/>
  <c r="G57" i="32"/>
  <c r="G58" i="32"/>
  <c r="G59" i="32"/>
  <c r="G60" i="32"/>
  <c r="G61" i="32"/>
  <c r="G62" i="32"/>
  <c r="G63" i="32"/>
  <c r="G64" i="32"/>
  <c r="G65" i="32"/>
  <c r="G66" i="32"/>
  <c r="G67" i="32"/>
  <c r="G68" i="32"/>
  <c r="G69" i="32"/>
  <c r="G70" i="32"/>
  <c r="G71" i="32"/>
  <c r="G72" i="32"/>
  <c r="G73" i="32"/>
  <c r="G3" i="32"/>
  <c r="U76" i="32"/>
  <c r="X77" i="32" s="1"/>
  <c r="G14" i="34" l="1"/>
  <c r="G15" i="34"/>
  <c r="G4" i="35"/>
  <c r="X79" i="32"/>
  <c r="X3" i="32"/>
  <c r="G16" i="34"/>
  <c r="G3" i="35"/>
  <c r="X4" i="32"/>
  <c r="G6" i="35"/>
  <c r="X80" i="32"/>
  <c r="G13" i="34"/>
  <c r="X11" i="32"/>
  <c r="G17" i="34"/>
  <c r="X76" i="32"/>
  <c r="X10" i="32"/>
  <c r="X81" i="32"/>
  <c r="X9" i="32"/>
  <c r="X8" i="32"/>
  <c r="X7" i="32"/>
  <c r="G6" i="34"/>
  <c r="X78" i="32"/>
  <c r="X6" i="32"/>
  <c r="G5" i="35"/>
  <c r="X5" i="32"/>
  <c r="G5" i="34"/>
  <c r="G4" i="34"/>
  <c r="G3" i="34"/>
  <c r="G7" i="34"/>
  <c r="G9" i="34"/>
  <c r="G8" i="34"/>
  <c r="E57" i="19" l="1"/>
  <c r="E70" i="19"/>
  <c r="E154" i="19" l="1"/>
  <c r="E181" i="19"/>
  <c r="E173" i="19"/>
  <c r="E146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Javier Castro Mellado</author>
  </authors>
  <commentList>
    <comment ref="T16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Requiere reparar fugas de aceite</t>
        </r>
      </text>
    </comment>
    <comment ref="T16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Pendiente terminar trabajo por reemplazo de bushing y pruebas de recepción</t>
        </r>
      </text>
    </comment>
    <comment ref="T17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Pendiente realizar inspección interna para ubicar el origen de la generación de H2 y realizar la corrección</t>
        </r>
      </text>
    </comment>
  </commentList>
</comments>
</file>

<file path=xl/sharedStrings.xml><?xml version="1.0" encoding="utf-8"?>
<sst xmlns="http://schemas.openxmlformats.org/spreadsheetml/2006/main" count="3291" uniqueCount="620">
  <si>
    <t>Santa Rosa Nueva</t>
  </si>
  <si>
    <t>SVC</t>
  </si>
  <si>
    <t>Balnearios</t>
  </si>
  <si>
    <t>Chilca</t>
  </si>
  <si>
    <t>San Juan</t>
  </si>
  <si>
    <t>Barranco</t>
  </si>
  <si>
    <t>Bujama</t>
  </si>
  <si>
    <t>Chorrillos</t>
  </si>
  <si>
    <t>Chosica</t>
  </si>
  <si>
    <t>Galvez</t>
  </si>
  <si>
    <t>Huachipa</t>
  </si>
  <si>
    <t>La Planicie</t>
  </si>
  <si>
    <t>Las Praderas</t>
  </si>
  <si>
    <t>Limatambo</t>
  </si>
  <si>
    <t>Monterrico</t>
  </si>
  <si>
    <t>Neyra</t>
  </si>
  <si>
    <t>Ñaña</t>
  </si>
  <si>
    <t>Pachacamac</t>
  </si>
  <si>
    <t>Puente</t>
  </si>
  <si>
    <t>Salamanca</t>
  </si>
  <si>
    <t>San Bartolo</t>
  </si>
  <si>
    <t>San Isidro</t>
  </si>
  <si>
    <t>San Mateo</t>
  </si>
  <si>
    <t>San Vicente</t>
  </si>
  <si>
    <t>Santa Anita</t>
  </si>
  <si>
    <t>Santa Clara</t>
  </si>
  <si>
    <t>Surco</t>
  </si>
  <si>
    <t>Villa El Salvador</t>
  </si>
  <si>
    <t>Villa Maria</t>
  </si>
  <si>
    <t>Transformación MAT/AT - Banco transformadores</t>
  </si>
  <si>
    <r>
      <rPr>
        <b/>
        <sz val="10"/>
        <rFont val="Arial Narrow"/>
        <family val="2"/>
      </rPr>
      <t>Total: 48</t>
    </r>
    <r>
      <rPr>
        <b/>
        <sz val="10"/>
        <color indexed="12"/>
        <rFont val="Arial Narrow"/>
        <family val="2"/>
      </rPr>
      <t xml:space="preserve"> - </t>
    </r>
    <r>
      <rPr>
        <b/>
        <sz val="10"/>
        <color indexed="10"/>
        <rFont val="Arial Narrow"/>
        <family val="2"/>
      </rPr>
      <t>Kraft: 17</t>
    </r>
    <r>
      <rPr>
        <b/>
        <sz val="10"/>
        <rFont val="Arial Narrow"/>
        <family val="2"/>
      </rPr>
      <t xml:space="preserve"> - Revitalizado: 02</t>
    </r>
  </si>
  <si>
    <t>Ítem</t>
  </si>
  <si>
    <t>Subestación</t>
  </si>
  <si>
    <t>Pot.Ins. (MVA)</t>
  </si>
  <si>
    <t>#Cir</t>
  </si>
  <si>
    <t>Potencia Placa (MVA)</t>
  </si>
  <si>
    <t>Relación de Transformación (kV)</t>
  </si>
  <si>
    <t>Marca</t>
  </si>
  <si>
    <t>Año Fab.</t>
  </si>
  <si>
    <t>Kardex 
[R-S-T]</t>
  </si>
  <si>
    <t>Serie
 (R-S-T)</t>
  </si>
  <si>
    <t>Alto Pradera</t>
  </si>
  <si>
    <t xml:space="preserve">(200 ± 2x10.0/62.46)÷1.73/10 </t>
  </si>
  <si>
    <t>SIEMENS</t>
  </si>
  <si>
    <t>D518291</t>
  </si>
  <si>
    <t>D518292</t>
  </si>
  <si>
    <t>D518293</t>
  </si>
  <si>
    <t>Manchay</t>
  </si>
  <si>
    <t xml:space="preserve">3 x 40/40/13.3 </t>
  </si>
  <si>
    <t xml:space="preserve">(210 ± 2x5.0/62.46)÷1.73/10 </t>
  </si>
  <si>
    <t>ABB</t>
  </si>
  <si>
    <t>LP-000476</t>
  </si>
  <si>
    <t>LP-000473</t>
  </si>
  <si>
    <t>LP-000471</t>
  </si>
  <si>
    <t>Asia</t>
  </si>
  <si>
    <t>V101044</t>
  </si>
  <si>
    <t>EFACEC</t>
  </si>
  <si>
    <t>00600048</t>
  </si>
  <si>
    <t>16625S</t>
  </si>
  <si>
    <t>00600050</t>
  </si>
  <si>
    <t>16627S</t>
  </si>
  <si>
    <t>00600054</t>
  </si>
  <si>
    <t>16631S</t>
  </si>
  <si>
    <t xml:space="preserve">(200 ± 2x10.0/60)÷1.73/10 </t>
  </si>
  <si>
    <t>P186248</t>
  </si>
  <si>
    <t>P186249</t>
  </si>
  <si>
    <t>P186250</t>
  </si>
  <si>
    <t>16626S</t>
  </si>
  <si>
    <t>16629S</t>
  </si>
  <si>
    <t>16630S</t>
  </si>
  <si>
    <t>San Luis</t>
  </si>
  <si>
    <t>30N14081601</t>
  </si>
  <si>
    <t>30N14081602</t>
  </si>
  <si>
    <t>30N14081603</t>
  </si>
  <si>
    <t>ASEA</t>
  </si>
  <si>
    <t>6620 500</t>
  </si>
  <si>
    <t>6620 501</t>
  </si>
  <si>
    <t>6620 503</t>
  </si>
  <si>
    <t>P186255</t>
  </si>
  <si>
    <t>P186257</t>
  </si>
  <si>
    <t>P186256</t>
  </si>
  <si>
    <t>Pachacútec</t>
  </si>
  <si>
    <t xml:space="preserve">(210 ± 2x10.0/62.46)÷1.73/10 </t>
  </si>
  <si>
    <t>V147101</t>
  </si>
  <si>
    <t>V147102</t>
  </si>
  <si>
    <t>V147103</t>
  </si>
  <si>
    <t>1ZBR60816</t>
  </si>
  <si>
    <t>1ZBR60817</t>
  </si>
  <si>
    <t>1ZBR60818</t>
  </si>
  <si>
    <t>San Miguel</t>
  </si>
  <si>
    <t>(200 ± 2x10.0/62.46)÷1.73/10</t>
  </si>
  <si>
    <t>GENERAL ELECTRIC</t>
  </si>
  <si>
    <t>5337PA196-02</t>
  </si>
  <si>
    <t>5337PA196-03</t>
  </si>
  <si>
    <t>5337PA196-04</t>
  </si>
  <si>
    <t>LP-000474</t>
  </si>
  <si>
    <t>V101043</t>
  </si>
  <si>
    <t>LP-000475</t>
  </si>
  <si>
    <t>Cantera</t>
  </si>
  <si>
    <t xml:space="preserve">25/25/8.3 </t>
  </si>
  <si>
    <t xml:space="preserve">214 + 4x2% - 5x2%/60 /10 </t>
  </si>
  <si>
    <t>220 ± 13x1.615/22.9</t>
  </si>
  <si>
    <t>5337PA196-05</t>
  </si>
  <si>
    <t>Los Sauces</t>
  </si>
  <si>
    <t>220 ± 13x1.694/10</t>
  </si>
  <si>
    <t>Progreso</t>
  </si>
  <si>
    <t>V147105</t>
  </si>
  <si>
    <t xml:space="preserve">58 ± 13x0.565/22.9 </t>
  </si>
  <si>
    <t>V101038</t>
  </si>
  <si>
    <t xml:space="preserve">40/40/40 </t>
  </si>
  <si>
    <t xml:space="preserve">58 ± 13x0.565/22.9/10 </t>
  </si>
  <si>
    <t>770027-01</t>
  </si>
  <si>
    <t xml:space="preserve">58 ± 13x0.565/10 </t>
  </si>
  <si>
    <t xml:space="preserve">50 </t>
  </si>
  <si>
    <t>00500042</t>
  </si>
  <si>
    <t>B615152</t>
  </si>
  <si>
    <t xml:space="preserve">25 </t>
  </si>
  <si>
    <t>160967T</t>
  </si>
  <si>
    <t>58 ± 13x0.565/10</t>
  </si>
  <si>
    <t>DELCROSA</t>
  </si>
  <si>
    <t>161159T2</t>
  </si>
  <si>
    <t xml:space="preserve">64.43 .. 51.0/10.06 </t>
  </si>
  <si>
    <t>00500030</t>
  </si>
  <si>
    <t xml:space="preserve">40/30/20 </t>
  </si>
  <si>
    <t>58 ± 13x0.565/22.9/10</t>
  </si>
  <si>
    <t>L-30507</t>
  </si>
  <si>
    <t>Central</t>
  </si>
  <si>
    <t>150700A/01</t>
  </si>
  <si>
    <t>150700A/02</t>
  </si>
  <si>
    <t>58 ± 13x0.565/22.9</t>
  </si>
  <si>
    <t>150700B/01</t>
  </si>
  <si>
    <t xml:space="preserve">25/25/25 </t>
  </si>
  <si>
    <t>V101040</t>
  </si>
  <si>
    <t>146659T3</t>
  </si>
  <si>
    <t>770021-01</t>
  </si>
  <si>
    <t>17.2</t>
  </si>
  <si>
    <t xml:space="preserve">17.2 </t>
  </si>
  <si>
    <t>64.43 .. 51.0/10.06</t>
  </si>
  <si>
    <t>00500015</t>
  </si>
  <si>
    <t>B93033</t>
  </si>
  <si>
    <t xml:space="preserve">58 ± 13x0.565/10.05 </t>
  </si>
  <si>
    <t>BBC</t>
  </si>
  <si>
    <t>00500080</t>
  </si>
  <si>
    <t>L-30406</t>
  </si>
  <si>
    <t>00500072</t>
  </si>
  <si>
    <t>123160T</t>
  </si>
  <si>
    <t>146660T3</t>
  </si>
  <si>
    <t>00500071</t>
  </si>
  <si>
    <t>123159T</t>
  </si>
  <si>
    <t>L-30506</t>
  </si>
  <si>
    <t xml:space="preserve">25/25/10 </t>
  </si>
  <si>
    <t>L-30477</t>
  </si>
  <si>
    <t xml:space="preserve">25/25/15 </t>
  </si>
  <si>
    <t>PT9003-01</t>
  </si>
  <si>
    <t>146659T2</t>
  </si>
  <si>
    <t>770028-01</t>
  </si>
  <si>
    <t xml:space="preserve">40 </t>
  </si>
  <si>
    <t>LP-000598</t>
  </si>
  <si>
    <t>146660T1</t>
  </si>
  <si>
    <t>760046-01</t>
  </si>
  <si>
    <t>V101039</t>
  </si>
  <si>
    <t>00500055</t>
  </si>
  <si>
    <t>L-30155</t>
  </si>
  <si>
    <t>25/25/25</t>
  </si>
  <si>
    <t>161642T</t>
  </si>
  <si>
    <t>146660T2</t>
  </si>
  <si>
    <t xml:space="preserve">64.32 .. 50.99/10.40-10.05 </t>
  </si>
  <si>
    <t>BBICT</t>
  </si>
  <si>
    <t>00500057</t>
  </si>
  <si>
    <t>L-30158</t>
  </si>
  <si>
    <t>760047-01</t>
  </si>
  <si>
    <t>146659T1</t>
  </si>
  <si>
    <t>770023-01</t>
  </si>
  <si>
    <t>L-30108</t>
  </si>
  <si>
    <t>00500056</t>
  </si>
  <si>
    <t>L-30157</t>
  </si>
  <si>
    <t>230531-01</t>
  </si>
  <si>
    <t>LP-000584</t>
  </si>
  <si>
    <t>00500027</t>
  </si>
  <si>
    <t>B607398</t>
  </si>
  <si>
    <t>750019-01</t>
  </si>
  <si>
    <t>00500073</t>
  </si>
  <si>
    <t>123161T</t>
  </si>
  <si>
    <t>760045-01</t>
  </si>
  <si>
    <t xml:space="preserve">10/10/3.3 </t>
  </si>
  <si>
    <t xml:space="preserve">62 ± 13x0.565/22.9/10.05 </t>
  </si>
  <si>
    <t>161566T</t>
  </si>
  <si>
    <t>L-30442</t>
  </si>
  <si>
    <t>V101041</t>
  </si>
  <si>
    <t>760026-01</t>
  </si>
  <si>
    <t>L-30443</t>
  </si>
  <si>
    <t xml:space="preserve">5 </t>
  </si>
  <si>
    <t xml:space="preserve">58 ± 9x0.983/10 </t>
  </si>
  <si>
    <t>BBC-PERU</t>
  </si>
  <si>
    <t>00500036</t>
  </si>
  <si>
    <t>L-10228</t>
  </si>
  <si>
    <t>Vertientes</t>
  </si>
  <si>
    <t>147926 T1</t>
  </si>
  <si>
    <t>25/25/10</t>
  </si>
  <si>
    <t>L-30493</t>
  </si>
  <si>
    <t>L-30300</t>
  </si>
  <si>
    <t>00500058</t>
  </si>
  <si>
    <t>L-30230</t>
  </si>
  <si>
    <t>00500089</t>
  </si>
  <si>
    <t>L-30436</t>
  </si>
  <si>
    <t>00500059</t>
  </si>
  <si>
    <t>L-30229</t>
  </si>
  <si>
    <t>40/40/40</t>
  </si>
  <si>
    <t>750005-01</t>
  </si>
  <si>
    <r>
      <t xml:space="preserve">Total: 03 - </t>
    </r>
    <r>
      <rPr>
        <b/>
        <sz val="12"/>
        <color indexed="10"/>
        <rFont val="Arial Narrow"/>
        <family val="2"/>
      </rPr>
      <t>Kraft: 03</t>
    </r>
  </si>
  <si>
    <t xml:space="preserve">60÷1.73/7.29 </t>
  </si>
  <si>
    <t>BBC-SUIZA</t>
  </si>
  <si>
    <t>HST15082-1-1</t>
  </si>
  <si>
    <t>HST15082-1-2</t>
  </si>
  <si>
    <t>HST15082-1-3</t>
  </si>
  <si>
    <t>Lurín</t>
  </si>
  <si>
    <t xml:space="preserve">Kardex </t>
  </si>
  <si>
    <t>Serie</t>
  </si>
  <si>
    <t>Reserva</t>
  </si>
  <si>
    <t xml:space="preserve">80/80/26.7 </t>
  </si>
  <si>
    <t>D518294</t>
  </si>
  <si>
    <t xml:space="preserve">28.33/28.33/5.4 </t>
  </si>
  <si>
    <t>40/40/13.33</t>
  </si>
  <si>
    <t>V101042</t>
  </si>
  <si>
    <t>00600039</t>
  </si>
  <si>
    <t>60/60/20</t>
  </si>
  <si>
    <t>P185848</t>
  </si>
  <si>
    <t>Chilca LDS</t>
  </si>
  <si>
    <t>00600051</t>
  </si>
  <si>
    <t>16628S</t>
  </si>
  <si>
    <t>Industriales</t>
  </si>
  <si>
    <t>80/80/26.7</t>
  </si>
  <si>
    <t>P186254</t>
  </si>
  <si>
    <t>V147104</t>
  </si>
  <si>
    <t>D518290</t>
  </si>
  <si>
    <t>80/80/26.67</t>
  </si>
  <si>
    <t>D518295</t>
  </si>
  <si>
    <t>220 ± 13x1,615/22,9</t>
  </si>
  <si>
    <t>5337PA196-06</t>
  </si>
  <si>
    <t>PA196-01-04</t>
  </si>
  <si>
    <t>LP-000472</t>
  </si>
  <si>
    <t>PA 277 - 03</t>
  </si>
  <si>
    <t>Comentarios</t>
  </si>
  <si>
    <t>770003-01</t>
  </si>
  <si>
    <t>750006-01</t>
  </si>
  <si>
    <t>00500060</t>
  </si>
  <si>
    <t>L-30249</t>
  </si>
  <si>
    <t>12.5</t>
  </si>
  <si>
    <t>B615153</t>
  </si>
  <si>
    <t>132006T1</t>
  </si>
  <si>
    <t>B611545</t>
  </si>
  <si>
    <t>123158T</t>
  </si>
  <si>
    <t>L-30330</t>
  </si>
  <si>
    <t xml:space="preserve">7 </t>
  </si>
  <si>
    <t>162031 T1</t>
  </si>
  <si>
    <t>00500033</t>
  </si>
  <si>
    <t>B611544</t>
  </si>
  <si>
    <t>BBC-BADEN</t>
  </si>
  <si>
    <t>00500067</t>
  </si>
  <si>
    <t>L-30307</t>
  </si>
  <si>
    <t>L-30306</t>
  </si>
  <si>
    <t>L-10802</t>
  </si>
  <si>
    <t>8.75</t>
  </si>
  <si>
    <t>L-10803</t>
  </si>
  <si>
    <t>B615151</t>
  </si>
  <si>
    <t>B126590</t>
  </si>
  <si>
    <t>Ingenieros</t>
  </si>
  <si>
    <t>Gálvez</t>
  </si>
  <si>
    <t>Pachacámac</t>
  </si>
  <si>
    <t xml:space="preserve">58/10.32 ± 12x0.110 </t>
  </si>
  <si>
    <t>58 ± 9x0.983/22.9/10</t>
  </si>
  <si>
    <t>62 ± 13x0.565/10</t>
  </si>
  <si>
    <t>58 ± 13x0.565/10.05</t>
  </si>
  <si>
    <t xml:space="preserve">64.32 .. 50.99/10.05 </t>
  </si>
  <si>
    <t xml:space="preserve">64.43 .. 51.0 /10.40-10.06 </t>
  </si>
  <si>
    <t>DELCROSA (BBC)</t>
  </si>
  <si>
    <t>Kardex 
(R-S-T)</t>
  </si>
  <si>
    <r>
      <rPr>
        <sz val="11"/>
        <color indexed="10"/>
        <rFont val="Arial Narrow"/>
        <family val="2"/>
      </rPr>
      <t>No operativo</t>
    </r>
    <r>
      <rPr>
        <sz val="11"/>
        <color indexed="56"/>
        <rFont val="Arial Narrow"/>
        <family val="2"/>
      </rPr>
      <t>. OLTC tipo LS (</t>
    </r>
    <r>
      <rPr>
        <sz val="11"/>
        <color indexed="10"/>
        <rFont val="Arial Narrow"/>
        <family val="2"/>
      </rPr>
      <t>Baja</t>
    </r>
    <r>
      <rPr>
        <sz val="11"/>
        <color indexed="56"/>
        <rFont val="Arial Narrow"/>
        <family val="2"/>
      </rPr>
      <t>)</t>
    </r>
  </si>
  <si>
    <t xml:space="preserve">A revitalizar 2021. A instalar en SET AS Rsva </t>
  </si>
  <si>
    <t>Transformadores de Potencia en Servicio</t>
  </si>
  <si>
    <t>Transformadores MAT/AT - Monofásicos</t>
  </si>
  <si>
    <t>Transformación AT/MT - Trifásicos</t>
  </si>
  <si>
    <t>Transformación MAT/AT - Trifásicos</t>
  </si>
  <si>
    <t>Compensación Reactiva</t>
  </si>
  <si>
    <t>Transformación AT/MT - No disponibles</t>
  </si>
  <si>
    <t>Total</t>
  </si>
  <si>
    <t>V147106</t>
  </si>
  <si>
    <t>DELCROSA (ABB)</t>
  </si>
  <si>
    <t>2017 (1968)</t>
  </si>
  <si>
    <t>ABB (DELCROSA)</t>
  </si>
  <si>
    <t>2019 (1990)</t>
  </si>
  <si>
    <t>2017 (1995)</t>
  </si>
  <si>
    <t>2018 (1997)</t>
  </si>
  <si>
    <t>2017 (1984)</t>
  </si>
  <si>
    <t>2017 (1977)</t>
  </si>
  <si>
    <t>ABB (BBICT)</t>
  </si>
  <si>
    <t>2019 (1976)</t>
  </si>
  <si>
    <t>2018 (1963)</t>
  </si>
  <si>
    <t>2019 (1984)</t>
  </si>
  <si>
    <t>2018 (1996)</t>
  </si>
  <si>
    <t>ABB (ITALTRAFO)</t>
  </si>
  <si>
    <t>2021 (1972)</t>
  </si>
  <si>
    <t>2020 (1972)</t>
  </si>
  <si>
    <t>220 ± 13x1.694/10.5</t>
  </si>
  <si>
    <t>No disponible. Pendiente cambiar bushing 60 kV</t>
  </si>
  <si>
    <t>No disponible. Pendiente inspección detectar defecto</t>
  </si>
  <si>
    <t>2019 (1980)</t>
  </si>
  <si>
    <t>2020 (1990)</t>
  </si>
  <si>
    <t>2020 (1965)</t>
  </si>
  <si>
    <t>00500034</t>
  </si>
  <si>
    <t>2020 (1968)</t>
  </si>
  <si>
    <t>00500043</t>
  </si>
  <si>
    <t>Pachacutec</t>
  </si>
  <si>
    <t>V163201</t>
  </si>
  <si>
    <r>
      <t xml:space="preserve">Total: 08 - </t>
    </r>
    <r>
      <rPr>
        <b/>
        <sz val="10"/>
        <color indexed="10"/>
        <rFont val="Arial Narrow"/>
        <family val="2"/>
      </rPr>
      <t>Kraft: 02</t>
    </r>
  </si>
  <si>
    <t>OK</t>
  </si>
  <si>
    <t>123157T</t>
  </si>
  <si>
    <t>Condición</t>
  </si>
  <si>
    <t>Mantenimiento</t>
  </si>
  <si>
    <t>Con limitación</t>
  </si>
  <si>
    <t>2021 (1984)</t>
  </si>
  <si>
    <t>Tipo</t>
  </si>
  <si>
    <t>R</t>
  </si>
  <si>
    <t>S</t>
  </si>
  <si>
    <t>T</t>
  </si>
  <si>
    <t>DELCROSA (DELCROSA)</t>
  </si>
  <si>
    <t>ABB (ABB)</t>
  </si>
  <si>
    <t>60/10</t>
  </si>
  <si>
    <t>60/22.9/10</t>
  </si>
  <si>
    <t>60/22.9</t>
  </si>
  <si>
    <t>2022 (1972)</t>
  </si>
  <si>
    <r>
      <rPr>
        <b/>
        <sz val="12"/>
        <rFont val="Arial Narrow"/>
        <family val="2"/>
      </rPr>
      <t>Total: 12</t>
    </r>
    <r>
      <rPr>
        <b/>
        <sz val="12"/>
        <color indexed="12"/>
        <rFont val="Arial Narrow"/>
        <family val="2"/>
      </rPr>
      <t xml:space="preserve"> - </t>
    </r>
    <r>
      <rPr>
        <b/>
        <sz val="12"/>
        <color indexed="10"/>
        <rFont val="Arial Narrow"/>
        <family val="2"/>
      </rPr>
      <t xml:space="preserve">Kraft: 03 </t>
    </r>
    <r>
      <rPr>
        <b/>
        <sz val="12"/>
        <rFont val="Arial Narrow"/>
        <family val="2"/>
      </rPr>
      <t>- Revitalizado: 1</t>
    </r>
  </si>
  <si>
    <t>2022 (1984)</t>
  </si>
  <si>
    <r>
      <t xml:space="preserve">Total: 5 - </t>
    </r>
    <r>
      <rPr>
        <b/>
        <sz val="10"/>
        <color indexed="10"/>
        <rFont val="Arial Narrow"/>
        <family val="2"/>
      </rPr>
      <t xml:space="preserve">Kraft: 2 </t>
    </r>
    <r>
      <rPr>
        <b/>
        <sz val="10"/>
        <rFont val="Arial Narrow"/>
        <family val="2"/>
      </rPr>
      <t>-</t>
    </r>
    <r>
      <rPr>
        <b/>
        <sz val="10"/>
        <color indexed="10"/>
        <rFont val="Arial Narrow"/>
        <family val="2"/>
      </rPr>
      <t xml:space="preserve"> </t>
    </r>
    <r>
      <rPr>
        <b/>
        <sz val="10"/>
        <rFont val="Arial Narrow"/>
        <family val="2"/>
      </rPr>
      <t>Revitalizado: 1</t>
    </r>
  </si>
  <si>
    <r>
      <t xml:space="preserve">Total: 71 - </t>
    </r>
    <r>
      <rPr>
        <b/>
        <sz val="10"/>
        <color indexed="10"/>
        <rFont val="Arial Narrow"/>
        <family val="2"/>
      </rPr>
      <t xml:space="preserve">Kraft: 18 </t>
    </r>
    <r>
      <rPr>
        <b/>
        <sz val="10"/>
        <rFont val="Arial Narrow"/>
        <family val="2"/>
      </rPr>
      <t>-</t>
    </r>
    <r>
      <rPr>
        <b/>
        <sz val="10"/>
        <color indexed="10"/>
        <rFont val="Arial Narrow"/>
        <family val="2"/>
      </rPr>
      <t xml:space="preserve"> </t>
    </r>
    <r>
      <rPr>
        <b/>
        <sz val="10"/>
        <rFont val="Arial Narrow"/>
        <family val="2"/>
      </rPr>
      <t>Revitalizado: 13</t>
    </r>
  </si>
  <si>
    <t>Observado por gases combustibles</t>
  </si>
  <si>
    <t>Bushing C2 reparado</t>
  </si>
  <si>
    <t>149292T</t>
  </si>
  <si>
    <t>Reparación</t>
  </si>
  <si>
    <t>Delcrosa (Ex SJ-TRF1)</t>
  </si>
  <si>
    <t xml:space="preserve">Chilca </t>
  </si>
  <si>
    <t>Monitor DGA</t>
  </si>
  <si>
    <t>TRF1</t>
  </si>
  <si>
    <t>TRF2</t>
  </si>
  <si>
    <t>TRF3</t>
  </si>
  <si>
    <t>TRA1</t>
  </si>
  <si>
    <t>TRA2</t>
  </si>
  <si>
    <t>TRA3</t>
  </si>
  <si>
    <t>TRA4</t>
  </si>
  <si>
    <t>TRA5</t>
  </si>
  <si>
    <t>SIEMENS MULTISENSE 5</t>
  </si>
  <si>
    <t>MTE HYDROCAL 1008</t>
  </si>
  <si>
    <t>Kraft</t>
  </si>
  <si>
    <t>Equipo de secado</t>
  </si>
  <si>
    <t>SCE</t>
  </si>
  <si>
    <t>SI</t>
  </si>
  <si>
    <t>Fase</t>
  </si>
  <si>
    <t>PA 277 - 01</t>
  </si>
  <si>
    <t>PA 277 - 02</t>
  </si>
  <si>
    <t>500077</t>
  </si>
  <si>
    <t>ABB (HITACHI)</t>
  </si>
  <si>
    <t>2023 (1990)</t>
  </si>
  <si>
    <t>V147107</t>
  </si>
  <si>
    <t>Baja Activo</t>
  </si>
  <si>
    <t>Observado por azufres corrosivos</t>
  </si>
  <si>
    <t xml:space="preserve">40/40/13.3 </t>
  </si>
  <si>
    <t xml:space="preserve">60/60/20 </t>
  </si>
  <si>
    <t>Pot.Ins. 
(MVA)</t>
  </si>
  <si>
    <t>B608156</t>
  </si>
  <si>
    <t>6620 502</t>
  </si>
  <si>
    <t>161159T1</t>
  </si>
  <si>
    <t>Hitachi</t>
  </si>
  <si>
    <t>Vendido Hitachi</t>
  </si>
  <si>
    <t>Icc</t>
  </si>
  <si>
    <t>11.96/11.51/11.17</t>
  </si>
  <si>
    <t>Vcc%
Sup/Cent/Inf</t>
  </si>
  <si>
    <t>Icc
AT/BT/Terc</t>
  </si>
  <si>
    <t>5/13.61/72.95</t>
  </si>
  <si>
    <t>11.87/11.42/11.09</t>
  </si>
  <si>
    <t>5.6/20/20.4</t>
  </si>
  <si>
    <t>12.07/12.63/13.73</t>
  </si>
  <si>
    <t>11.99/12.56/13.65</t>
  </si>
  <si>
    <t>12.02/12.59/13.68</t>
  </si>
  <si>
    <t>12.34/12.49/13.04</t>
  </si>
  <si>
    <t>6.9/17.98/19.92</t>
  </si>
  <si>
    <t>12.41/12.54/13.07</t>
  </si>
  <si>
    <t>5.89/17.88/19.7</t>
  </si>
  <si>
    <t>12.40/12.53/13.08</t>
  </si>
  <si>
    <t>5.89/17.89/19.2</t>
  </si>
  <si>
    <t>11.4/18.1/31.5</t>
  </si>
  <si>
    <t>11.6/49.1/29.8</t>
  </si>
  <si>
    <t>11.6/49.1/29.9</t>
  </si>
  <si>
    <t>11.7/49.4/30.1</t>
  </si>
  <si>
    <t>11.6/49.5/30.1</t>
  </si>
  <si>
    <t>11.81/11.38/11.21</t>
  </si>
  <si>
    <t>3.40/9.81</t>
  </si>
  <si>
    <t>No se ve</t>
  </si>
  <si>
    <t>11.72/11.29/10.56</t>
  </si>
  <si>
    <t>11.81/11.29/10.65</t>
  </si>
  <si>
    <t>11.85/11.23/10.64</t>
  </si>
  <si>
    <t>12.34/11.98/11.37</t>
  </si>
  <si>
    <t>12.31/11.82/11.23</t>
  </si>
  <si>
    <t>11.77/12.03/12.59</t>
  </si>
  <si>
    <t>X</t>
  </si>
  <si>
    <t>Transformadores de Potencia en Reserva (Al 19/08/2024)</t>
  </si>
  <si>
    <t>Transformadores AT/MT - Trifásicos</t>
  </si>
  <si>
    <t>Para inspecciónar por pérdida de aceite</t>
  </si>
  <si>
    <t>V180401</t>
  </si>
  <si>
    <t>V180402</t>
  </si>
  <si>
    <t>V180403</t>
  </si>
  <si>
    <t>Identificar que marca/modelo de monitor DGA tiene</t>
  </si>
  <si>
    <t>VAISALA OPT100</t>
  </si>
  <si>
    <t>Villa María</t>
  </si>
  <si>
    <t>HITACHI (DELCROSA)}</t>
  </si>
  <si>
    <t>2024 (1984)</t>
  </si>
  <si>
    <t>Ubicación Momento del Corte SST/SCT</t>
  </si>
  <si>
    <t>Santa Anita - Reserva</t>
  </si>
  <si>
    <t>Santa Clara - TRF1</t>
  </si>
  <si>
    <t>Villa El Salvador - TRF1</t>
  </si>
  <si>
    <t>Galvez - TRF2</t>
  </si>
  <si>
    <t>San Bartolo - Reserva</t>
  </si>
  <si>
    <t>San Miguel - Reserva</t>
  </si>
  <si>
    <t>Los Sauces - Reserva</t>
  </si>
  <si>
    <t>Alto Pradera - Reserva</t>
  </si>
  <si>
    <t>San Juan - Reserva</t>
  </si>
  <si>
    <t>San Luis - Reserva</t>
  </si>
  <si>
    <t>Manchay - Reserva</t>
  </si>
  <si>
    <t>Ingenieros - Reserva</t>
  </si>
  <si>
    <t>Balnearios - Reserva</t>
  </si>
  <si>
    <t>Pachacútec - TRA1</t>
  </si>
  <si>
    <t>SCT</t>
  </si>
  <si>
    <t>SST</t>
  </si>
  <si>
    <t>ANT</t>
  </si>
  <si>
    <t>Santa Rosa Nueva - Reserva</t>
  </si>
  <si>
    <t>Pachacutec - Reserva</t>
  </si>
  <si>
    <t>Chosica - TRF1</t>
  </si>
  <si>
    <t>Pachacamac - Reserva</t>
  </si>
  <si>
    <t>San Bartolo - TRF1</t>
  </si>
  <si>
    <t>Surco - TRF1</t>
  </si>
  <si>
    <t>Gálvez - Reserva</t>
  </si>
  <si>
    <t>Huachipa - TRF1</t>
  </si>
  <si>
    <t>La Planicie - TRF1</t>
  </si>
  <si>
    <t>Pachacamac - TRF1</t>
  </si>
  <si>
    <t>Villa El Salvador - TRF2</t>
  </si>
  <si>
    <t>La Planicie - TRF2</t>
  </si>
  <si>
    <t>Barranco - TRF2</t>
  </si>
  <si>
    <t>Asia - Reserva</t>
  </si>
  <si>
    <t>Balnearios - TRA2</t>
  </si>
  <si>
    <t>ABB - Reserva</t>
  </si>
  <si>
    <t>San Vicente - TRF1</t>
  </si>
  <si>
    <t>Santa Clara - TRF2</t>
  </si>
  <si>
    <t>Santa Rosa Nueva - TRA4</t>
  </si>
  <si>
    <t>Santa Rosa Nueva - TRA3</t>
  </si>
  <si>
    <t>Ingenieros - TRF1</t>
  </si>
  <si>
    <t>Las praderas - TRF1</t>
  </si>
  <si>
    <t>Bujama - TRF2</t>
  </si>
  <si>
    <t>Salamanca - TRF2</t>
  </si>
  <si>
    <t>San Mateo - TRF1</t>
  </si>
  <si>
    <t>Puente - TRF2</t>
  </si>
  <si>
    <t>San Bartolo - TRF2</t>
  </si>
  <si>
    <t>Balnearios - TRA3</t>
  </si>
  <si>
    <t>San Isidro - TRF3</t>
  </si>
  <si>
    <t>Cantera - TRA1</t>
  </si>
  <si>
    <t>Neyra - TRF1</t>
  </si>
  <si>
    <t>Chorrillos - TRF2</t>
  </si>
  <si>
    <t>Ñaña - TRF1</t>
  </si>
  <si>
    <t>Balnearios - TRF1</t>
  </si>
  <si>
    <t>Limatambo - TRF2</t>
  </si>
  <si>
    <t>San Juan - TRA2</t>
  </si>
  <si>
    <t>San Juan - TRA1</t>
  </si>
  <si>
    <t>Puente - TRF3</t>
  </si>
  <si>
    <t>Galvez - TRF1</t>
  </si>
  <si>
    <t>San Isidro - TRF1</t>
  </si>
  <si>
    <t>Neyra - TRF2</t>
  </si>
  <si>
    <t>Balnearios - TRA4</t>
  </si>
  <si>
    <t>Balnearios - TRF3</t>
  </si>
  <si>
    <t>Limatambo - TRF3</t>
  </si>
  <si>
    <t>Salamanca - TRF1</t>
  </si>
  <si>
    <t>Industriales - TRA1</t>
  </si>
  <si>
    <t>Industriales - Reserva</t>
  </si>
  <si>
    <t>Neyra - TRF3</t>
  </si>
  <si>
    <t>Limatambo - TRF1</t>
  </si>
  <si>
    <t>Monterrico - TRF1</t>
  </si>
  <si>
    <t>Chorrillos - TRF1</t>
  </si>
  <si>
    <t>Ingenieros - TRF2</t>
  </si>
  <si>
    <t>Puente - TRF1</t>
  </si>
  <si>
    <t>Santa Anita - TRF2</t>
  </si>
  <si>
    <t>Cantera - TRA2</t>
  </si>
  <si>
    <t>San Luis - TRA1</t>
  </si>
  <si>
    <t>Central - TRF1</t>
  </si>
  <si>
    <t>Central - TRF2</t>
  </si>
  <si>
    <t>Central - TRF3</t>
  </si>
  <si>
    <t>San Vicente - TRF2</t>
  </si>
  <si>
    <t>Lurin - TRF2</t>
  </si>
  <si>
    <t>Alto pradera - TRA1</t>
  </si>
  <si>
    <t>Alto pradera - TRF1</t>
  </si>
  <si>
    <t>Chilca - TRF2</t>
  </si>
  <si>
    <t>San Miguel - TRA2</t>
  </si>
  <si>
    <t>San Miguel - TRA3</t>
  </si>
  <si>
    <t>Vertientes - TRF1</t>
  </si>
  <si>
    <t>Los Sauces - TRA1</t>
  </si>
  <si>
    <t>Los Sauces - TRA2</t>
  </si>
  <si>
    <t>Balnearios - TRF2</t>
  </si>
  <si>
    <t>San Luis - TRA2</t>
  </si>
  <si>
    <t>Progreso - TRA1</t>
  </si>
  <si>
    <t>Pachacutec - TRA2</t>
  </si>
  <si>
    <t>San Luis - TRA3</t>
  </si>
  <si>
    <t>Barranco - TRF1</t>
  </si>
  <si>
    <t>Balnearios - SVC</t>
  </si>
  <si>
    <t>En proceso de revitalizado</t>
  </si>
  <si>
    <t>En concurso para reparación</t>
  </si>
  <si>
    <t>Tensión</t>
  </si>
  <si>
    <t>Potencia</t>
  </si>
  <si>
    <t>220/60/10</t>
  </si>
  <si>
    <t>220/10</t>
  </si>
  <si>
    <t>220/22.9</t>
  </si>
  <si>
    <t>220/60</t>
  </si>
  <si>
    <t>Remuneración</t>
  </si>
  <si>
    <t>San Juan - TRF1</t>
  </si>
  <si>
    <t>Santa Anita - TRF1</t>
  </si>
  <si>
    <t>Las Praderas - TRF1</t>
  </si>
  <si>
    <t>Chorillos - TRF1</t>
  </si>
  <si>
    <t>Chorillos - TRF2</t>
  </si>
  <si>
    <t>SST (2006)</t>
  </si>
  <si>
    <t>60/10 kV - 25 MVA</t>
  </si>
  <si>
    <t>60/22.9/10 kV - 40/40/40 MVA</t>
  </si>
  <si>
    <t>60/22.9/10 kV - 25/25/25 MVA</t>
  </si>
  <si>
    <t>60/10 kV - 17.2 MVA</t>
  </si>
  <si>
    <t>60/22.9/10 kV - 40/30/20 MVA</t>
  </si>
  <si>
    <t>60/22.9/10 kV - 25/25/10 MVA</t>
  </si>
  <si>
    <t>60/10 kV - 40 MVA</t>
  </si>
  <si>
    <t>60/10 kV - 12.5 MVA</t>
  </si>
  <si>
    <t>Villa Maria - TRF1</t>
  </si>
  <si>
    <t>Villa Maria - TRF2</t>
  </si>
  <si>
    <t>60/22.9/10 kV - 10/10/3.3 MVA</t>
  </si>
  <si>
    <t>60/10 kV - 5 MVA</t>
  </si>
  <si>
    <t>60/10 kV - 17,2 MVA</t>
  </si>
  <si>
    <t>60/22.9/10 kV - 25/25/15 MVA</t>
  </si>
  <si>
    <t>220/60/10 kV - 120/120/40 MVA</t>
  </si>
  <si>
    <t>220/60/10 kV - 180/120/60 MVA</t>
  </si>
  <si>
    <t>220/60/10 kV - 85/85/28.3 MVA</t>
  </si>
  <si>
    <t>220/60/10 kV - 25 MVA</t>
  </si>
  <si>
    <t>220/60/10 kV - 120 MVA</t>
  </si>
  <si>
    <t>Ubicación original SCT/SST</t>
  </si>
  <si>
    <t>Lurin - TRF1</t>
  </si>
  <si>
    <t>Planicie - TRF2</t>
  </si>
  <si>
    <t>Limatambo - Reserva</t>
  </si>
  <si>
    <t>Otro - Reserva</t>
  </si>
  <si>
    <t>Otro - Desconocido</t>
  </si>
  <si>
    <t>Almacén - Stock Mantenimiento</t>
  </si>
  <si>
    <t>Almacén - Stock</t>
  </si>
  <si>
    <t>Reconocidos SST (2006)</t>
  </si>
  <si>
    <t>Tensión - Potencia</t>
  </si>
  <si>
    <t>Delcrosa (Ex PA-TRF2)</t>
  </si>
  <si>
    <t>2023 (2014)</t>
  </si>
  <si>
    <t>Hitachi (Ex A-TRF2)</t>
  </si>
  <si>
    <t>Delcrosa (Ex MO - TRF2)</t>
  </si>
  <si>
    <t>Situación</t>
  </si>
  <si>
    <t>Disponible</t>
  </si>
  <si>
    <t>Revitalización</t>
  </si>
  <si>
    <t>Regresar a HP-TRF2</t>
  </si>
  <si>
    <t>Regresar a SC-TRF1</t>
  </si>
  <si>
    <t>Regresar a SJ-TRF1</t>
  </si>
  <si>
    <t>BAJA</t>
  </si>
  <si>
    <t>60/22.9 - 50</t>
  </si>
  <si>
    <t>60/22.9/10 - 40</t>
  </si>
  <si>
    <t>60/10 - 50</t>
  </si>
  <si>
    <t>60/10 - 25</t>
  </si>
  <si>
    <t>60/22.9/10 - 25</t>
  </si>
  <si>
    <t>60/10 - 17.2</t>
  </si>
  <si>
    <t>60/10 - 40</t>
  </si>
  <si>
    <t>60/22.9/10 - 10</t>
  </si>
  <si>
    <t>60/10 - 5</t>
  </si>
  <si>
    <t>Servicio</t>
  </si>
  <si>
    <t>Inoperativo</t>
  </si>
  <si>
    <t>60/10 - 12.5</t>
  </si>
  <si>
    <t>Servcio</t>
  </si>
  <si>
    <t>60/22,9/10 - 40</t>
  </si>
  <si>
    <t>60/22,9/10 - 25</t>
  </si>
  <si>
    <t>60/10 - 17,2</t>
  </si>
  <si>
    <t>60/22,9/10 - 10</t>
  </si>
  <si>
    <t>60/10 - 12,5</t>
  </si>
  <si>
    <t>Denominación</t>
  </si>
  <si>
    <t>Falla</t>
  </si>
  <si>
    <t>HITACHI (DELCROSA)</t>
  </si>
  <si>
    <t>RESERVA</t>
  </si>
  <si>
    <t>SERVICIO</t>
  </si>
  <si>
    <t>Regresar a MA-TR1R</t>
  </si>
  <si>
    <t>Regresar a PN-TR3T</t>
  </si>
  <si>
    <t>En uso</t>
  </si>
  <si>
    <t>Ubicación</t>
  </si>
  <si>
    <t>Fábrica Hitachi</t>
  </si>
  <si>
    <t xml:space="preserve">40/40/13.33 </t>
  </si>
  <si>
    <t>Año 
Fabricación</t>
  </si>
  <si>
    <t>INSTALAR 2025</t>
  </si>
  <si>
    <t>REVITALIZACIÓN 2026</t>
  </si>
  <si>
    <t>REVITALIZACIÓN 2027</t>
  </si>
  <si>
    <t>REVITALIZAR</t>
  </si>
  <si>
    <t>Nuevo (Reparado)</t>
  </si>
  <si>
    <t>GE TRANSFIX DGA 500</t>
  </si>
  <si>
    <t>Operativo</t>
  </si>
  <si>
    <t>Averiado</t>
  </si>
  <si>
    <t>Verificar si tiene</t>
  </si>
  <si>
    <t>Condición Monitor DGA</t>
  </si>
  <si>
    <t>Operativo con observaciones</t>
  </si>
  <si>
    <t>Media Tensión</t>
  </si>
  <si>
    <t>MT</t>
  </si>
  <si>
    <t>Alta Tensión</t>
  </si>
  <si>
    <t>AT</t>
  </si>
  <si>
    <t>Muy Alta Tensión</t>
  </si>
  <si>
    <t>MAT</t>
  </si>
  <si>
    <t>60/10  60/22.9</t>
  </si>
  <si>
    <t>HX</t>
  </si>
  <si>
    <t>HXY</t>
  </si>
  <si>
    <t>H</t>
  </si>
  <si>
    <t>Y</t>
  </si>
  <si>
    <t>Puente (Ex-TRF3)</t>
  </si>
  <si>
    <t>Puente (Ex-TRF2)</t>
  </si>
  <si>
    <t>Monterrico (Ex- TRF2)</t>
  </si>
  <si>
    <t>Pachacamac (Ex-TRF2)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</si>
</sst>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8"/>
      <name val="Trebuchet MS"/>
    </font>
    <font>
      <sz val="10"/>
      <name val="Arial"/>
      <family val="2"/>
    </font>
    <font>
      <b/>
      <sz val="16"/>
      <color indexed="12"/>
      <name val="Arial Narrow"/>
      <family val="2"/>
    </font>
    <font>
      <b/>
      <sz val="12"/>
      <color indexed="10"/>
      <name val="Trebuchet MS"/>
      <family val="2"/>
    </font>
    <font>
      <b/>
      <sz val="12"/>
      <color indexed="12"/>
      <name val="Arial Narrow"/>
      <family val="2"/>
    </font>
    <font>
      <b/>
      <sz val="10"/>
      <color indexed="12"/>
      <name val="Arial Narrow"/>
      <family val="2"/>
    </font>
    <font>
      <b/>
      <sz val="10"/>
      <name val="Arial Narrow"/>
      <family val="2"/>
    </font>
    <font>
      <b/>
      <sz val="10"/>
      <color indexed="10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sz val="11"/>
      <color indexed="1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b/>
      <sz val="12"/>
      <color indexed="10"/>
      <name val="Arial Narrow"/>
      <family val="2"/>
    </font>
    <font>
      <b/>
      <sz val="14"/>
      <color indexed="12"/>
      <name val="Trebuchet MS"/>
      <family val="2"/>
    </font>
    <font>
      <b/>
      <sz val="12"/>
      <name val="Arial Narrow"/>
      <family val="2"/>
    </font>
    <font>
      <sz val="11"/>
      <color indexed="56"/>
      <name val="Arial Narrow"/>
      <family val="2"/>
    </font>
    <font>
      <b/>
      <sz val="10"/>
      <color rgb="FF0000FF"/>
      <name val="Arial Narrow"/>
      <family val="2"/>
    </font>
    <font>
      <sz val="12"/>
      <color theme="0"/>
      <name val="Arial Narrow"/>
      <family val="2"/>
    </font>
    <font>
      <sz val="10"/>
      <color rgb="FF0000FF"/>
      <name val="Arial"/>
      <family val="2"/>
    </font>
    <font>
      <sz val="11"/>
      <color rgb="FF0000FF"/>
      <name val="Arial Narrow"/>
      <family val="2"/>
    </font>
    <font>
      <sz val="11"/>
      <color theme="1"/>
      <name val="Arial Narrow"/>
      <family val="2"/>
    </font>
    <font>
      <sz val="8"/>
      <color rgb="FF0000FF"/>
      <name val="ARIAL"/>
      <family val="2"/>
    </font>
    <font>
      <b/>
      <sz val="12"/>
      <color rgb="FF0000FF"/>
      <name val="Arial Narrow"/>
      <family val="2"/>
    </font>
    <font>
      <sz val="11"/>
      <color theme="0"/>
      <name val="Arial Narrow"/>
      <family val="2"/>
    </font>
    <font>
      <sz val="11"/>
      <color rgb="FF002060"/>
      <name val="Arial Narrow"/>
      <family val="2"/>
    </font>
    <font>
      <sz val="10"/>
      <color rgb="FF002060"/>
      <name val="Arial"/>
      <family val="2"/>
    </font>
    <font>
      <sz val="10"/>
      <color rgb="FF002060"/>
      <name val="Arial Narrow"/>
      <family val="2"/>
    </font>
    <font>
      <sz val="11"/>
      <name val="Trebuchet MS"/>
      <family val="2"/>
    </font>
    <font>
      <sz val="8"/>
      <name val="Trebuchet MS"/>
      <family val="2"/>
    </font>
    <font>
      <sz val="8"/>
      <color rgb="FF002060"/>
      <name val="Trebuchet MS"/>
      <family val="2"/>
    </font>
    <font>
      <b/>
      <sz val="9"/>
      <color indexed="81"/>
      <name val="Tahoma"/>
      <family val="2"/>
    </font>
    <font>
      <sz val="11"/>
      <color rgb="FFFF0000"/>
      <name val="Arial Narrow"/>
      <family val="2"/>
    </font>
    <font>
      <b/>
      <sz val="16"/>
      <color rgb="FFFF0000"/>
      <name val="Arial Narrow"/>
      <family val="2"/>
    </font>
    <font>
      <sz val="10"/>
      <color rgb="FFFF0000"/>
      <name val="Arial"/>
      <family val="2"/>
    </font>
    <font>
      <b/>
      <sz val="20"/>
      <color indexed="12"/>
      <name val="Arial Narrow"/>
      <family val="2"/>
    </font>
    <font>
      <sz val="11"/>
      <color rgb="FF00B050"/>
      <name val="Arial Narrow"/>
      <family val="2"/>
    </font>
    <font>
      <sz val="10"/>
      <color rgb="FFFF0000"/>
      <name val="Arial Narrow"/>
      <family val="2"/>
    </font>
    <font>
      <sz val="10"/>
      <name val="Trebuchet MS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8"/>
      </bottom>
      <diagonal/>
    </border>
    <border>
      <left style="thin">
        <color theme="0"/>
      </left>
      <right style="thin">
        <color theme="0"/>
      </right>
      <top style="thin">
        <color indexed="8"/>
      </top>
      <bottom style="thin">
        <color indexed="8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indexed="8"/>
      </bottom>
      <diagonal/>
    </border>
    <border>
      <left/>
      <right style="thin">
        <color theme="0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/>
  </cellStyleXfs>
  <cellXfs count="168">
    <xf numFmtId="0" fontId="0" fillId="0" borderId="0" xfId="0"/>
    <xf numFmtId="0" fontId="1" fillId="0" borderId="0" xfId="1" applyNumberFormat="1" applyFont="1" applyFill="1" applyBorder="1" applyAlignment="1"/>
    <xf numFmtId="0" fontId="19" fillId="0" borderId="0" xfId="1" applyNumberFormat="1" applyFont="1" applyFill="1" applyBorder="1" applyAlignment="1">
      <alignment horizontal="center"/>
    </xf>
    <xf numFmtId="0" fontId="1" fillId="0" borderId="0" xfId="1" applyNumberFormat="1" applyFont="1" applyFill="1" applyBorder="1" applyAlignment="1">
      <alignment horizontal="center"/>
    </xf>
    <xf numFmtId="0" fontId="22" fillId="0" borderId="0" xfId="1" applyNumberFormat="1" applyFont="1" applyFill="1" applyBorder="1" applyAlignment="1">
      <alignment horizontal="center"/>
    </xf>
    <xf numFmtId="0" fontId="19" fillId="0" borderId="0" xfId="1" applyNumberFormat="1" applyFont="1" applyFill="1" applyBorder="1" applyAlignment="1"/>
    <xf numFmtId="0" fontId="18" fillId="3" borderId="16" xfId="1" applyNumberFormat="1" applyFont="1" applyFill="1" applyBorder="1" applyAlignment="1">
      <alignment horizontal="center" vertical="center" wrapText="1"/>
    </xf>
    <xf numFmtId="0" fontId="14" fillId="0" borderId="0" xfId="2" applyFont="1" applyAlignment="1">
      <alignment horizontal="left" vertical="center"/>
    </xf>
    <xf numFmtId="1" fontId="24" fillId="3" borderId="10" xfId="1" applyNumberFormat="1" applyFont="1" applyFill="1" applyBorder="1" applyAlignment="1">
      <alignment horizontal="center" vertical="center" wrapText="1"/>
    </xf>
    <xf numFmtId="1" fontId="25" fillId="0" borderId="1" xfId="0" applyNumberFormat="1" applyFont="1" applyBorder="1"/>
    <xf numFmtId="0" fontId="9" fillId="0" borderId="7" xfId="1" applyNumberFormat="1" applyFont="1" applyFill="1" applyBorder="1" applyAlignment="1">
      <alignment horizontal="left" vertical="center"/>
    </xf>
    <xf numFmtId="0" fontId="9" fillId="0" borderId="0" xfId="1" applyNumberFormat="1" applyFont="1" applyFill="1" applyBorder="1" applyAlignment="1">
      <alignment horizontal="left" vertical="center"/>
    </xf>
    <xf numFmtId="0" fontId="9" fillId="0" borderId="6" xfId="1" applyNumberFormat="1" applyFont="1" applyFill="1" applyBorder="1" applyAlignment="1">
      <alignment horizontal="left" vertical="center"/>
    </xf>
    <xf numFmtId="0" fontId="9" fillId="0" borderId="5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9" xfId="1" applyNumberFormat="1" applyFont="1" applyFill="1" applyBorder="1" applyAlignment="1">
      <alignment horizontal="left" vertical="center"/>
    </xf>
    <xf numFmtId="0" fontId="9" fillId="0" borderId="2" xfId="1" applyNumberFormat="1" applyFont="1" applyFill="1" applyBorder="1" applyAlignment="1">
      <alignment horizontal="left" vertical="center"/>
    </xf>
    <xf numFmtId="0" fontId="9" fillId="0" borderId="3" xfId="1" applyNumberFormat="1" applyFont="1" applyFill="1" applyBorder="1" applyAlignment="1">
      <alignment horizontal="left" vertical="center"/>
    </xf>
    <xf numFmtId="0" fontId="9" fillId="0" borderId="10" xfId="1" applyNumberFormat="1" applyFont="1" applyFill="1" applyBorder="1" applyAlignment="1">
      <alignment horizontal="left" vertical="center"/>
    </xf>
    <xf numFmtId="0" fontId="29" fillId="0" borderId="0" xfId="0" applyFont="1"/>
    <xf numFmtId="0" fontId="9" fillId="0" borderId="8" xfId="1" applyNumberFormat="1" applyFont="1" applyFill="1" applyBorder="1" applyAlignment="1">
      <alignment horizontal="left" vertical="center"/>
    </xf>
    <xf numFmtId="0" fontId="9" fillId="0" borderId="1" xfId="1" applyNumberFormat="1" applyFont="1" applyFill="1" applyBorder="1" applyAlignment="1">
      <alignment horizontal="left"/>
    </xf>
    <xf numFmtId="1" fontId="25" fillId="0" borderId="19" xfId="0" applyNumberFormat="1" applyFont="1" applyBorder="1"/>
    <xf numFmtId="0" fontId="0" fillId="0" borderId="0" xfId="0" applyFill="1"/>
    <xf numFmtId="0" fontId="9" fillId="0" borderId="1" xfId="1" quotePrefix="1" applyNumberFormat="1" applyFont="1" applyFill="1" applyBorder="1" applyAlignment="1">
      <alignment horizontal="left" vertical="center"/>
    </xf>
    <xf numFmtId="0" fontId="1" fillId="0" borderId="0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0" borderId="0" xfId="1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3" fillId="0" borderId="0" xfId="1" applyNumberFormat="1" applyFont="1" applyFill="1" applyBorder="1" applyAlignment="1">
      <alignment horizontal="left" vertical="center"/>
    </xf>
    <xf numFmtId="0" fontId="4" fillId="0" borderId="0" xfId="1" applyNumberFormat="1" applyFont="1" applyFill="1" applyBorder="1" applyAlignment="1">
      <alignment horizontal="left" vertical="center"/>
    </xf>
    <xf numFmtId="0" fontId="17" fillId="2" borderId="0" xfId="1" quotePrefix="1" applyNumberFormat="1" applyFont="1" applyFill="1" applyBorder="1" applyAlignment="1">
      <alignment horizontal="left"/>
    </xf>
    <xf numFmtId="0" fontId="1" fillId="2" borderId="0" xfId="1" applyNumberFormat="1" applyFont="1" applyFill="1" applyBorder="1" applyAlignment="1">
      <alignment horizontal="left"/>
    </xf>
    <xf numFmtId="0" fontId="17" fillId="0" borderId="0" xfId="1" quotePrefix="1" applyNumberFormat="1" applyFont="1" applyFill="1" applyBorder="1" applyAlignment="1">
      <alignment horizontal="left"/>
    </xf>
    <xf numFmtId="0" fontId="18" fillId="3" borderId="11" xfId="1" applyNumberFormat="1" applyFont="1" applyFill="1" applyBorder="1" applyAlignment="1">
      <alignment horizontal="left" vertical="center" wrapText="1"/>
    </xf>
    <xf numFmtId="0" fontId="18" fillId="3" borderId="12" xfId="1" applyNumberFormat="1" applyFont="1" applyFill="1" applyBorder="1" applyAlignment="1">
      <alignment horizontal="left" vertical="center" wrapText="1"/>
    </xf>
    <xf numFmtId="0" fontId="18" fillId="3" borderId="13" xfId="1" applyNumberFormat="1" applyFont="1" applyFill="1" applyBorder="1" applyAlignment="1">
      <alignment horizontal="left" vertical="center" wrapText="1"/>
    </xf>
    <xf numFmtId="0" fontId="18" fillId="3" borderId="16" xfId="1" applyNumberFormat="1" applyFont="1" applyFill="1" applyBorder="1" applyAlignment="1">
      <alignment horizontal="left" vertical="center" wrapText="1"/>
    </xf>
    <xf numFmtId="0" fontId="18" fillId="3" borderId="20" xfId="1" applyNumberFormat="1" applyFont="1" applyFill="1" applyBorder="1" applyAlignment="1">
      <alignment horizontal="left" vertical="center" wrapText="1"/>
    </xf>
    <xf numFmtId="0" fontId="24" fillId="3" borderId="0" xfId="1" applyNumberFormat="1" applyFont="1" applyFill="1" applyBorder="1" applyAlignment="1">
      <alignment horizontal="left" vertical="center" wrapText="1"/>
    </xf>
    <xf numFmtId="0" fontId="24" fillId="3" borderId="16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left"/>
    </xf>
    <xf numFmtId="0" fontId="9" fillId="0" borderId="1" xfId="0" applyFont="1" applyBorder="1" applyAlignment="1">
      <alignment horizontal="left" vertical="center"/>
    </xf>
    <xf numFmtId="0" fontId="21" fillId="0" borderId="1" xfId="1" applyNumberFormat="1" applyFont="1" applyFill="1" applyBorder="1" applyAlignment="1">
      <alignment horizontal="left" vertical="center"/>
    </xf>
    <xf numFmtId="0" fontId="11" fillId="0" borderId="0" xfId="1" applyNumberFormat="1" applyFont="1" applyFill="1" applyBorder="1" applyAlignment="1">
      <alignment horizontal="left"/>
    </xf>
    <xf numFmtId="164" fontId="9" fillId="0" borderId="1" xfId="1" applyNumberFormat="1" applyFont="1" applyFill="1" applyBorder="1" applyAlignment="1">
      <alignment horizontal="left" vertical="center"/>
    </xf>
    <xf numFmtId="0" fontId="18" fillId="3" borderId="21" xfId="1" applyNumberFormat="1" applyFont="1" applyFill="1" applyBorder="1" applyAlignment="1">
      <alignment horizontal="left" vertical="center" wrapText="1"/>
    </xf>
    <xf numFmtId="0" fontId="18" fillId="3" borderId="14" xfId="1" applyNumberFormat="1" applyFont="1" applyFill="1" applyBorder="1" applyAlignment="1">
      <alignment horizontal="left" vertical="center" wrapText="1"/>
    </xf>
    <xf numFmtId="0" fontId="11" fillId="0" borderId="1" xfId="1" applyNumberFormat="1" applyFont="1" applyFill="1" applyBorder="1" applyAlignment="1">
      <alignment horizontal="left"/>
    </xf>
    <xf numFmtId="0" fontId="12" fillId="0" borderId="0" xfId="1" applyNumberFormat="1" applyFont="1" applyFill="1" applyBorder="1" applyAlignment="1">
      <alignment horizontal="left" vertical="center"/>
    </xf>
    <xf numFmtId="0" fontId="27" fillId="0" borderId="0" xfId="1" applyNumberFormat="1" applyFont="1" applyFill="1" applyBorder="1" applyAlignment="1">
      <alignment horizontal="left"/>
    </xf>
    <xf numFmtId="164" fontId="25" fillId="0" borderId="0" xfId="1" applyNumberFormat="1" applyFont="1" applyFill="1" applyBorder="1" applyAlignment="1">
      <alignment horizontal="left" vertical="center"/>
    </xf>
    <xf numFmtId="0" fontId="8" fillId="0" borderId="1" xfId="1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/>
    </xf>
    <xf numFmtId="0" fontId="8" fillId="0" borderId="0" xfId="1" applyNumberFormat="1" applyFont="1" applyFill="1" applyBorder="1" applyAlignment="1">
      <alignment horizontal="left"/>
    </xf>
    <xf numFmtId="0" fontId="23" fillId="2" borderId="0" xfId="1" quotePrefix="1" applyNumberFormat="1" applyFont="1" applyFill="1" applyBorder="1" applyAlignment="1">
      <alignment horizontal="left"/>
    </xf>
    <xf numFmtId="0" fontId="23" fillId="0" borderId="0" xfId="1" quotePrefix="1" applyNumberFormat="1" applyFont="1" applyFill="1" applyBorder="1" applyAlignment="1">
      <alignment horizontal="left"/>
    </xf>
    <xf numFmtId="0" fontId="18" fillId="3" borderId="15" xfId="1" applyNumberFormat="1" applyFont="1" applyFill="1" applyBorder="1" applyAlignment="1">
      <alignment horizontal="left" vertical="center" wrapText="1"/>
    </xf>
    <xf numFmtId="0" fontId="26" fillId="0" borderId="0" xfId="1" applyNumberFormat="1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1" fillId="0" borderId="0" xfId="2" applyAlignment="1">
      <alignment horizontal="left" vertical="center"/>
    </xf>
    <xf numFmtId="0" fontId="18" fillId="3" borderId="17" xfId="1" applyNumberFormat="1" applyFont="1" applyFill="1" applyBorder="1" applyAlignment="1">
      <alignment horizontal="left" vertical="center" wrapText="1"/>
    </xf>
    <xf numFmtId="0" fontId="18" fillId="3" borderId="18" xfId="1" applyNumberFormat="1" applyFont="1" applyFill="1" applyBorder="1" applyAlignment="1">
      <alignment horizontal="left" vertical="center" wrapText="1"/>
    </xf>
    <xf numFmtId="164" fontId="9" fillId="0" borderId="4" xfId="1" applyNumberFormat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/>
    </xf>
    <xf numFmtId="0" fontId="2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9" fillId="0" borderId="1" xfId="0" applyFont="1" applyFill="1" applyBorder="1" applyAlignment="1">
      <alignment horizontal="left" vertical="center"/>
    </xf>
    <xf numFmtId="0" fontId="24" fillId="3" borderId="0" xfId="1" applyNumberFormat="1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/>
    </xf>
    <xf numFmtId="0" fontId="33" fillId="0" borderId="0" xfId="1" applyNumberFormat="1" applyFont="1" applyFill="1" applyBorder="1" applyAlignment="1">
      <alignment horizontal="left" vertical="center"/>
    </xf>
    <xf numFmtId="0" fontId="33" fillId="4" borderId="0" xfId="1" applyNumberFormat="1" applyFont="1" applyFill="1" applyBorder="1" applyAlignment="1">
      <alignment horizontal="left" vertical="center"/>
    </xf>
    <xf numFmtId="0" fontId="34" fillId="4" borderId="0" xfId="2" applyFont="1" applyFill="1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35" fillId="0" borderId="0" xfId="1" applyNumberFormat="1" applyFont="1" applyFill="1" applyBorder="1" applyAlignment="1">
      <alignment horizontal="left" vertical="center"/>
    </xf>
    <xf numFmtId="0" fontId="32" fillId="0" borderId="0" xfId="1" applyNumberFormat="1" applyFont="1" applyFill="1" applyBorder="1" applyAlignment="1">
      <alignment horizontal="left" vertical="center"/>
    </xf>
    <xf numFmtId="0" fontId="9" fillId="0" borderId="0" xfId="0" applyFont="1"/>
    <xf numFmtId="1" fontId="9" fillId="0" borderId="1" xfId="0" applyNumberFormat="1" applyFont="1" applyBorder="1"/>
    <xf numFmtId="1" fontId="9" fillId="0" borderId="1" xfId="0" applyNumberFormat="1" applyFont="1" applyFill="1" applyBorder="1"/>
    <xf numFmtId="1" fontId="9" fillId="0" borderId="0" xfId="0" applyNumberFormat="1" applyFont="1"/>
    <xf numFmtId="0" fontId="32" fillId="0" borderId="0" xfId="0" applyFont="1"/>
    <xf numFmtId="0" fontId="9" fillId="0" borderId="0" xfId="0" applyFont="1" applyFill="1"/>
    <xf numFmtId="0" fontId="25" fillId="0" borderId="0" xfId="0" applyFont="1"/>
    <xf numFmtId="0" fontId="25" fillId="0" borderId="0" xfId="0" applyFont="1" applyFill="1"/>
    <xf numFmtId="1" fontId="9" fillId="0" borderId="0" xfId="0" applyNumberFormat="1" applyFont="1" applyAlignment="1">
      <alignment horizontal="left"/>
    </xf>
    <xf numFmtId="1" fontId="9" fillId="0" borderId="1" xfId="0" applyNumberFormat="1" applyFont="1" applyBorder="1" applyAlignment="1">
      <alignment horizontal="left"/>
    </xf>
    <xf numFmtId="1" fontId="9" fillId="0" borderId="1" xfId="0" applyNumberFormat="1" applyFont="1" applyFill="1" applyBorder="1" applyAlignment="1">
      <alignment horizontal="left"/>
    </xf>
    <xf numFmtId="1" fontId="25" fillId="0" borderId="0" xfId="0" applyNumberFormat="1" applyFont="1" applyAlignment="1">
      <alignment horizontal="left"/>
    </xf>
    <xf numFmtId="0" fontId="12" fillId="0" borderId="0" xfId="0" applyFont="1" applyFill="1"/>
    <xf numFmtId="0" fontId="32" fillId="0" borderId="1" xfId="0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left"/>
    </xf>
    <xf numFmtId="1" fontId="32" fillId="0" borderId="1" xfId="0" applyNumberFormat="1" applyFont="1" applyBorder="1" applyAlignment="1">
      <alignment horizontal="left"/>
    </xf>
    <xf numFmtId="1" fontId="36" fillId="0" borderId="1" xfId="0" applyNumberFormat="1" applyFont="1" applyBorder="1" applyAlignment="1">
      <alignment horizontal="left"/>
    </xf>
    <xf numFmtId="0" fontId="36" fillId="0" borderId="1" xfId="0" applyFont="1" applyBorder="1" applyAlignment="1">
      <alignment horizontal="left" vertical="center"/>
    </xf>
    <xf numFmtId="0" fontId="0" fillId="5" borderId="0" xfId="0" applyFill="1"/>
    <xf numFmtId="0" fontId="1" fillId="5" borderId="0" xfId="1" applyNumberFormat="1" applyFont="1" applyFill="1" applyBorder="1" applyAlignment="1"/>
    <xf numFmtId="0" fontId="9" fillId="5" borderId="1" xfId="1" applyNumberFormat="1" applyFont="1" applyFill="1" applyBorder="1" applyAlignment="1">
      <alignment horizontal="left"/>
    </xf>
    <xf numFmtId="0" fontId="9" fillId="5" borderId="1" xfId="1" applyNumberFormat="1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" fontId="9" fillId="5" borderId="1" xfId="0" applyNumberFormat="1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1" fontId="9" fillId="5" borderId="1" xfId="0" applyNumberFormat="1" applyFont="1" applyFill="1" applyBorder="1"/>
    <xf numFmtId="0" fontId="9" fillId="5" borderId="0" xfId="0" applyFont="1" applyFill="1"/>
    <xf numFmtId="0" fontId="18" fillId="3" borderId="0" xfId="1" applyNumberFormat="1" applyFont="1" applyFill="1" applyBorder="1" applyAlignment="1">
      <alignment horizontal="left" vertical="center" wrapText="1"/>
    </xf>
    <xf numFmtId="0" fontId="9" fillId="0" borderId="4" xfId="1" applyNumberFormat="1" applyFont="1" applyFill="1" applyBorder="1" applyAlignment="1">
      <alignment horizontal="left" vertical="center"/>
    </xf>
    <xf numFmtId="0" fontId="32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left"/>
    </xf>
    <xf numFmtId="0" fontId="30" fillId="0" borderId="0" xfId="0" applyNumberFormat="1" applyFont="1" applyAlignment="1">
      <alignment horizontal="left"/>
    </xf>
    <xf numFmtId="0" fontId="29" fillId="0" borderId="0" xfId="0" applyNumberFormat="1" applyFont="1" applyAlignment="1">
      <alignment horizontal="left"/>
    </xf>
    <xf numFmtId="0" fontId="12" fillId="0" borderId="0" xfId="0" applyNumberFormat="1" applyFont="1" applyAlignment="1">
      <alignment horizontal="left"/>
    </xf>
    <xf numFmtId="0" fontId="0" fillId="0" borderId="0" xfId="0" applyNumberFormat="1" applyFill="1"/>
    <xf numFmtId="1" fontId="32" fillId="4" borderId="1" xfId="0" applyNumberFormat="1" applyFont="1" applyFill="1" applyBorder="1" applyAlignment="1">
      <alignment horizontal="left"/>
    </xf>
    <xf numFmtId="1" fontId="32" fillId="0" borderId="1" xfId="0" applyNumberFormat="1" applyFont="1" applyFill="1" applyBorder="1" applyAlignment="1">
      <alignment horizontal="left"/>
    </xf>
    <xf numFmtId="0" fontId="32" fillId="0" borderId="1" xfId="0" applyNumberFormat="1" applyFont="1" applyFill="1" applyBorder="1" applyAlignment="1">
      <alignment horizontal="left"/>
    </xf>
    <xf numFmtId="1" fontId="20" fillId="4" borderId="1" xfId="0" applyNumberFormat="1" applyFont="1" applyFill="1" applyBorder="1" applyAlignment="1">
      <alignment horizontal="left"/>
    </xf>
    <xf numFmtId="1" fontId="20" fillId="0" borderId="1" xfId="0" applyNumberFormat="1" applyFont="1" applyFill="1" applyBorder="1" applyAlignment="1">
      <alignment horizontal="left"/>
    </xf>
    <xf numFmtId="49" fontId="20" fillId="0" borderId="1" xfId="0" applyNumberFormat="1" applyFont="1" applyFill="1" applyBorder="1" applyAlignment="1">
      <alignment horizontal="left"/>
    </xf>
    <xf numFmtId="0" fontId="20" fillId="0" borderId="1" xfId="0" applyNumberFormat="1" applyFont="1" applyFill="1" applyBorder="1" applyAlignment="1">
      <alignment horizontal="left"/>
    </xf>
    <xf numFmtId="1" fontId="32" fillId="6" borderId="1" xfId="0" applyNumberFormat="1" applyFont="1" applyFill="1" applyBorder="1" applyAlignment="1">
      <alignment horizontal="left"/>
    </xf>
    <xf numFmtId="0" fontId="32" fillId="6" borderId="1" xfId="0" applyNumberFormat="1" applyFont="1" applyFill="1" applyBorder="1" applyAlignment="1">
      <alignment horizontal="left"/>
    </xf>
    <xf numFmtId="0" fontId="32" fillId="0" borderId="1" xfId="1" quotePrefix="1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 vertical="center"/>
    </xf>
    <xf numFmtId="0" fontId="20" fillId="4" borderId="1" xfId="0" applyFont="1" applyFill="1" applyBorder="1" applyAlignment="1">
      <alignment horizontal="left" vertical="center"/>
    </xf>
    <xf numFmtId="0" fontId="32" fillId="4" borderId="1" xfId="0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 vertical="center"/>
    </xf>
    <xf numFmtId="1" fontId="20" fillId="4" borderId="1" xfId="0" applyNumberFormat="1" applyFont="1" applyFill="1" applyBorder="1"/>
    <xf numFmtId="1" fontId="32" fillId="4" borderId="1" xfId="0" applyNumberFormat="1" applyFont="1" applyFill="1" applyBorder="1"/>
    <xf numFmtId="1" fontId="9" fillId="7" borderId="1" xfId="0" applyNumberFormat="1" applyFont="1" applyFill="1" applyBorder="1"/>
    <xf numFmtId="0" fontId="9" fillId="0" borderId="1" xfId="0" applyNumberFormat="1" applyFont="1" applyFill="1" applyBorder="1" applyAlignment="1">
      <alignment horizontal="left"/>
    </xf>
    <xf numFmtId="1" fontId="24" fillId="3" borderId="0" xfId="1" applyNumberFormat="1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left"/>
    </xf>
    <xf numFmtId="0" fontId="9" fillId="6" borderId="1" xfId="0" applyNumberFormat="1" applyFont="1" applyFill="1" applyBorder="1" applyAlignment="1">
      <alignment horizontal="left"/>
    </xf>
    <xf numFmtId="1" fontId="37" fillId="0" borderId="1" xfId="0" applyNumberFormat="1" applyFont="1" applyFill="1" applyBorder="1" applyAlignment="1">
      <alignment horizontal="left"/>
    </xf>
    <xf numFmtId="0" fontId="37" fillId="0" borderId="1" xfId="0" applyNumberFormat="1" applyFont="1" applyFill="1" applyBorder="1" applyAlignment="1">
      <alignment horizontal="left"/>
    </xf>
    <xf numFmtId="0" fontId="38" fillId="0" borderId="0" xfId="0" applyFont="1"/>
    <xf numFmtId="1" fontId="11" fillId="6" borderId="1" xfId="0" applyNumberFormat="1" applyFont="1" applyFill="1" applyBorder="1" applyAlignment="1">
      <alignment horizontal="left"/>
    </xf>
    <xf numFmtId="0" fontId="11" fillId="6" borderId="1" xfId="0" applyNumberFormat="1" applyFont="1" applyFill="1" applyBorder="1" applyAlignment="1">
      <alignment horizontal="left"/>
    </xf>
    <xf numFmtId="1" fontId="37" fillId="0" borderId="1" xfId="0" applyNumberFormat="1" applyFont="1" applyBorder="1" applyAlignment="1">
      <alignment horizontal="left"/>
    </xf>
    <xf numFmtId="0" fontId="37" fillId="0" borderId="1" xfId="0" applyNumberFormat="1" applyFont="1" applyBorder="1" applyAlignment="1">
      <alignment horizontal="left"/>
    </xf>
    <xf numFmtId="1" fontId="37" fillId="6" borderId="1" xfId="0" applyNumberFormat="1" applyFont="1" applyFill="1" applyBorder="1" applyAlignment="1">
      <alignment horizontal="left"/>
    </xf>
    <xf numFmtId="0" fontId="37" fillId="6" borderId="1" xfId="0" applyNumberFormat="1" applyFont="1" applyFill="1" applyBorder="1" applyAlignment="1">
      <alignment horizontal="left"/>
    </xf>
    <xf numFmtId="0" fontId="37" fillId="0" borderId="1" xfId="1" quotePrefix="1" applyNumberFormat="1" applyFont="1" applyFill="1" applyBorder="1" applyAlignment="1">
      <alignment horizontal="left" vertical="center"/>
    </xf>
    <xf numFmtId="0" fontId="38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9" fillId="0" borderId="0" xfId="0" applyFont="1"/>
    <xf numFmtId="0" fontId="39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left" vertical="center"/>
    </xf>
    <xf numFmtId="0" fontId="39" fillId="0" borderId="1" xfId="0" applyFont="1" applyBorder="1"/>
    <xf numFmtId="0" fontId="39" fillId="0" borderId="1" xfId="0" applyFont="1" applyBorder="1" applyAlignment="1">
      <alignment horizontal="center"/>
    </xf>
    <xf numFmtId="1" fontId="25" fillId="0" borderId="1" xfId="0" applyNumberFormat="1" applyFont="1" applyFill="1" applyBorder="1"/>
    <xf numFmtId="0" fontId="9" fillId="0" borderId="1" xfId="0" applyFont="1" applyBorder="1"/>
    <xf numFmtId="0" fontId="25" fillId="0" borderId="1" xfId="0" applyFont="1" applyBorder="1"/>
    <xf numFmtId="1" fontId="24" fillId="3" borderId="10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left"/>
    </xf>
    <xf numFmtId="0" fontId="25" fillId="0" borderId="1" xfId="0" applyFont="1" applyFill="1" applyBorder="1"/>
    <xf numFmtId="0" fontId="0" fillId="0" borderId="1" xfId="0" applyBorder="1"/>
    <xf numFmtId="0" fontId="9" fillId="7" borderId="1" xfId="1" applyNumberFormat="1" applyFont="1" applyFill="1" applyBorder="1" applyAlignment="1">
      <alignment horizontal="left" vertical="center"/>
    </xf>
    <xf numFmtId="0" fontId="9" fillId="7" borderId="10" xfId="1" applyNumberFormat="1" applyFont="1" applyFill="1" applyBorder="1" applyAlignment="1">
      <alignment horizontal="left" vertical="center"/>
    </xf>
    <xf numFmtId="0" fontId="32" fillId="0" borderId="1" xfId="0" applyFont="1" applyFill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0" fillId="4" borderId="0" xfId="0" applyFill="1"/>
    <xf numFmtId="0" fontId="9" fillId="0" borderId="0" xfId="0" applyFont="1" applyAlignment="1">
      <alignment horizontal="center" vertical="center"/>
    </xf>
    <xf numFmtId="0" fontId="18" fillId="3" borderId="22" xfId="1" applyNumberFormat="1" applyFont="1" applyFill="1" applyBorder="1" applyAlignment="1">
      <alignment horizontal="left" vertical="center" wrapText="1"/>
    </xf>
    <xf numFmtId="0" fontId="9" fillId="0" borderId="19" xfId="1" applyNumberFormat="1" applyFont="1" applyFill="1" applyBorder="1" applyAlignment="1">
      <alignment horizontal="left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 Narrow"/>
        <family val="2"/>
        <scheme val="none"/>
      </font>
      <numFmt numFmtId="0" formatCode="General"/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2060"/>
        <name val="Arial Narrow"/>
        <family val="2"/>
        <scheme val="none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colors>
    <mruColors>
      <color rgb="FF0000FF"/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F93B1-D9E9-4EF3-8F40-FC8A7F7958BA}" name="Tabla1" displayName="Tabla1" ref="C5:AA56" totalsRowShown="0" headerRowDxfId="0" tableBorderDxfId="26" headerRowCellStyle="Normal 2">
  <autoFilter ref="C5:AA56" xr:uid="{9AD9E9A9-4804-4312-AF93-FF620D3498FB}"/>
  <tableColumns count="25">
    <tableColumn id="1" xr3:uid="{D41032D8-7F04-4873-BB5A-53580F4B1C4C}" name="Ítem" dataDxfId="25" dataCellStyle="Normal 2"/>
    <tableColumn id="2" xr3:uid="{8A055615-A674-49E3-8033-B831F0D9E22E}" name="Subestación" dataDxfId="24" dataCellStyle="Normal 2"/>
    <tableColumn id="3" xr3:uid="{D3D36160-68DE-4D55-85E8-8950679C3B9F}" name="Pot.Ins. _x000a_(MVA)" dataDxfId="23" dataCellStyle="Normal 2"/>
    <tableColumn id="4" xr3:uid="{704073FE-5367-477C-B103-CBAA2E837C3C}" name="#Cir" dataDxfId="22" dataCellStyle="Normal 2"/>
    <tableColumn id="5" xr3:uid="{2ED271BF-6FC7-4375-B1A1-69943C33977C}" name="Fase" dataDxfId="21" dataCellStyle="Normal 2"/>
    <tableColumn id="6" xr3:uid="{A0CFB9AF-1AA1-4302-8D80-809AB068008A}" name="Potencia Placa (MVA)" dataDxfId="20" dataCellStyle="Normal 2"/>
    <tableColumn id="7" xr3:uid="{AEEAB801-6BC9-46CA-9B42-D3867AE4E04A}" name="Relación de Transformación (kV)" dataDxfId="19" dataCellStyle="Normal 2"/>
    <tableColumn id="8" xr3:uid="{138346A2-10E5-44AF-805F-EC88B8D6AFF5}" name="Marca" dataDxfId="18" dataCellStyle="Normal 2"/>
    <tableColumn id="9" xr3:uid="{5BC30C85-42CB-480D-A1F6-460420E020F5}" name="Año Fab." dataDxfId="17" dataCellStyle="Normal 2"/>
    <tableColumn id="10" xr3:uid="{CA812A4D-3B06-42D6-96DF-F3B60DD49518}" name="Kardex _x000a_(R-S-T)" dataDxfId="16" dataCellStyle="Normal 2"/>
    <tableColumn id="11" xr3:uid="{7A98E1E6-67C6-4EC8-B18F-470EA0E083D0}" name="Serie_x000a_ (R-S-T)" dataDxfId="15" dataCellStyle="Normal 2"/>
    <tableColumn id="12" xr3:uid="{476BF158-8468-4C9D-B5AB-F0CAC60E26B5}" name="Remuneración" dataDxfId="14"/>
    <tableColumn id="13" xr3:uid="{0EAB7141-A4B5-460B-86C8-5BFFCB1E6877}" name="Tensión" dataDxfId="13"/>
    <tableColumn id="14" xr3:uid="{2D53635D-F4D1-46A5-A5BB-041D23254B9D}" name="Potencia" dataDxfId="12"/>
    <tableColumn id="15" xr3:uid="{520470AE-A6D7-4174-B207-BC27BBFF4C02}" name="Ubicación original SCT/SST" dataDxfId="11"/>
    <tableColumn id="16" xr3:uid="{ED6656B5-0A40-4200-9357-FCDC38773316}" name="SST (2006)" dataDxfId="10"/>
    <tableColumn id="17" xr3:uid="{CE2C5EC3-5696-4EE7-9261-E2D09CC06934}" name="Tipo" dataDxfId="9"/>
    <tableColumn id="18" xr3:uid="{320CC9E9-45DB-4191-B944-4D2BD9647DC5}" name="Condición" dataDxfId="8" dataCellStyle="Normal 2"/>
    <tableColumn id="19" xr3:uid="{4C35941B-F272-4008-8025-3B314469C9A4}" name="Monitor DGA" dataDxfId="7"/>
    <tableColumn id="20" xr3:uid="{B55E7E6E-C65F-4785-8483-378CD7DAD60F}" name="Condición Monitor DGA" dataDxfId="6"/>
    <tableColumn id="21" xr3:uid="{916CFF4C-C1A4-4C6E-A446-684959195369}" name="Equipo de secado" dataDxfId="5"/>
    <tableColumn id="22" xr3:uid="{5138EA3A-C309-4CDC-97AB-0EF783C64ED7}" name="Comentarios" dataDxfId="4"/>
    <tableColumn id="23" xr3:uid="{C871B62D-6322-4520-8F72-A8D4BE64B17C}" name="Vcc%_x000a_Sup/Cent/Inf" dataDxfId="3" dataCellStyle="Normal 2"/>
    <tableColumn id="24" xr3:uid="{716D0B69-11AC-403E-AF1F-79E4D31D39A7}" name="Icc_x000a_AT/BT/Terc" dataDxfId="2" dataCellStyle="Normal 2"/>
    <tableColumn id="25" xr3:uid="{615E4BF8-B19C-48BA-9E18-EDB5BC41182D}" name="Icc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D214"/>
  <sheetViews>
    <sheetView showGridLines="0" tabSelected="1" topLeftCell="C5" zoomScale="90" zoomScaleNormal="90" workbookViewId="0">
      <selection activeCell="C5" sqref="C5:AA56"/>
    </sheetView>
  </sheetViews>
  <sheetFormatPr baseColWidth="10" defaultColWidth="12" defaultRowHeight="16.5" x14ac:dyDescent="0.3"/>
  <cols>
    <col min="1" max="1" width="1.83203125" customWidth="1"/>
    <col min="2" max="2" width="1" customWidth="1"/>
    <col min="3" max="3" width="12" style="28"/>
    <col min="4" max="4" width="23" style="28" bestFit="1" customWidth="1"/>
    <col min="5" max="5" width="18.1640625" style="28" customWidth="1"/>
    <col min="6" max="7" width="12.33203125" style="28" customWidth="1"/>
    <col min="8" max="8" width="25" style="28" customWidth="1"/>
    <col min="9" max="9" width="37.83203125" style="28" hidden="1" customWidth="1"/>
    <col min="10" max="10" width="18.5" style="28" hidden="1" customWidth="1"/>
    <col min="11" max="11" width="16.1640625" style="28" hidden="1" customWidth="1"/>
    <col min="12" max="12" width="14.5" style="28" hidden="1" customWidth="1"/>
    <col min="13" max="13" width="18.6640625" style="28" bestFit="1" customWidth="1"/>
    <col min="14" max="14" width="18.6640625" style="28" hidden="1" customWidth="1"/>
    <col min="15" max="15" width="18.6640625" style="28" customWidth="1"/>
    <col min="16" max="16" width="18.6640625" style="109" customWidth="1"/>
    <col min="17" max="17" width="27.33203125" style="87" hidden="1" customWidth="1"/>
    <col min="18" max="18" width="25" style="87" hidden="1" customWidth="1"/>
    <col min="19" max="19" width="28.33203125" style="87" hidden="1" customWidth="1"/>
    <col min="20" max="20" width="34.1640625" style="28" hidden="1" customWidth="1"/>
    <col min="21" max="22" width="26.1640625" style="30" hidden="1" customWidth="1"/>
    <col min="23" max="23" width="26.5" style="31" hidden="1" customWidth="1"/>
    <col min="24" max="24" width="20.1640625" style="79" hidden="1" customWidth="1"/>
    <col min="25" max="25" width="16.1640625" style="79" customWidth="1"/>
    <col min="26" max="29" width="12" style="79" customWidth="1"/>
    <col min="30" max="30" width="12" style="79"/>
    <col min="31" max="31" width="2.33203125" style="79" customWidth="1"/>
    <col min="32" max="16384" width="12" style="79"/>
  </cols>
  <sheetData>
    <row r="1" spans="2:27" ht="25.5" x14ac:dyDescent="0.3">
      <c r="B1" s="1"/>
      <c r="C1" s="77" t="s">
        <v>279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T1" s="26"/>
    </row>
    <row r="2" spans="2:27" ht="3.75" customHeight="1" x14ac:dyDescent="0.3">
      <c r="B2" s="1"/>
      <c r="C2" s="26"/>
      <c r="D2" s="32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T2" s="26"/>
    </row>
    <row r="3" spans="2:27" ht="20.25" x14ac:dyDescent="0.3">
      <c r="B3" s="1"/>
      <c r="C3" s="29" t="s">
        <v>29</v>
      </c>
      <c r="D3" s="26"/>
      <c r="E3" s="26"/>
      <c r="F3" s="26"/>
      <c r="G3" s="26"/>
      <c r="H3" s="26" t="s">
        <v>516</v>
      </c>
      <c r="I3" s="34" t="s">
        <v>30</v>
      </c>
      <c r="J3" s="35"/>
      <c r="K3" s="26"/>
      <c r="L3" s="26"/>
      <c r="M3" s="26"/>
      <c r="N3" s="26"/>
      <c r="O3" s="26"/>
      <c r="P3" s="26"/>
      <c r="T3" s="26"/>
    </row>
    <row r="4" spans="2:27" ht="3.75" customHeight="1" x14ac:dyDescent="0.3">
      <c r="B4" s="1"/>
      <c r="C4" s="33"/>
      <c r="D4" s="26"/>
      <c r="E4" s="26"/>
      <c r="F4" s="26"/>
      <c r="G4" s="26"/>
      <c r="H4" s="26"/>
      <c r="I4" s="36"/>
      <c r="J4" s="26"/>
      <c r="K4" s="26"/>
      <c r="L4" s="26"/>
      <c r="M4" s="26"/>
      <c r="N4" s="26"/>
      <c r="O4" s="26"/>
      <c r="P4" s="26"/>
      <c r="T4" s="26"/>
    </row>
    <row r="5" spans="2:27" ht="36.75" customHeight="1" x14ac:dyDescent="0.3">
      <c r="B5" s="1"/>
      <c r="C5" s="166" t="s">
        <v>31</v>
      </c>
      <c r="D5" s="40" t="s">
        <v>32</v>
      </c>
      <c r="E5" s="6" t="s">
        <v>367</v>
      </c>
      <c r="F5" s="40" t="s">
        <v>34</v>
      </c>
      <c r="G5" s="41" t="s">
        <v>356</v>
      </c>
      <c r="H5" s="40" t="s">
        <v>35</v>
      </c>
      <c r="I5" s="65" t="s">
        <v>36</v>
      </c>
      <c r="J5" s="40" t="s">
        <v>37</v>
      </c>
      <c r="K5" s="65" t="s">
        <v>38</v>
      </c>
      <c r="L5" s="40" t="s">
        <v>276</v>
      </c>
      <c r="M5" s="40" t="s">
        <v>40</v>
      </c>
      <c r="N5" s="106" t="s">
        <v>517</v>
      </c>
      <c r="O5" s="106" t="s">
        <v>511</v>
      </c>
      <c r="P5" s="106" t="s">
        <v>512</v>
      </c>
      <c r="Q5" s="42" t="s">
        <v>543</v>
      </c>
      <c r="R5" s="42" t="s">
        <v>523</v>
      </c>
      <c r="S5" s="42" t="s">
        <v>321</v>
      </c>
      <c r="T5" s="40" t="s">
        <v>317</v>
      </c>
      <c r="U5" s="43" t="s">
        <v>341</v>
      </c>
      <c r="V5" s="42" t="s">
        <v>603</v>
      </c>
      <c r="W5" s="42" t="s">
        <v>353</v>
      </c>
      <c r="X5" s="8" t="s">
        <v>242</v>
      </c>
      <c r="Y5" s="71" t="s">
        <v>375</v>
      </c>
      <c r="Z5" s="71" t="s">
        <v>376</v>
      </c>
      <c r="AA5" s="71" t="s">
        <v>373</v>
      </c>
    </row>
    <row r="6" spans="2:27" x14ac:dyDescent="0.3">
      <c r="B6" s="2"/>
      <c r="C6" s="167">
        <v>1</v>
      </c>
      <c r="D6" s="14" t="s">
        <v>41</v>
      </c>
      <c r="E6" s="14">
        <v>80</v>
      </c>
      <c r="F6" s="14" t="s">
        <v>345</v>
      </c>
      <c r="G6" s="14" t="s">
        <v>322</v>
      </c>
      <c r="H6" s="14" t="s">
        <v>219</v>
      </c>
      <c r="I6" s="14" t="s">
        <v>42</v>
      </c>
      <c r="J6" s="14" t="s">
        <v>43</v>
      </c>
      <c r="K6" s="14">
        <v>2017</v>
      </c>
      <c r="L6" s="14">
        <v>60007475</v>
      </c>
      <c r="M6" s="14" t="s">
        <v>46</v>
      </c>
      <c r="N6" s="118" t="s">
        <v>430</v>
      </c>
      <c r="O6" s="118" t="s">
        <v>513</v>
      </c>
      <c r="P6" s="120">
        <v>240</v>
      </c>
      <c r="Q6" s="93" t="s">
        <v>494</v>
      </c>
      <c r="R6" s="88"/>
      <c r="S6" s="88"/>
      <c r="T6" s="14"/>
      <c r="U6" s="27"/>
      <c r="V6" s="27"/>
      <c r="W6" s="45"/>
      <c r="X6" s="9"/>
      <c r="Y6" s="14"/>
      <c r="Z6" s="14"/>
    </row>
    <row r="7" spans="2:27" x14ac:dyDescent="0.3">
      <c r="B7" s="2"/>
      <c r="C7" s="167">
        <v>2</v>
      </c>
      <c r="D7" s="14" t="s">
        <v>41</v>
      </c>
      <c r="E7" s="14">
        <v>80</v>
      </c>
      <c r="F7" s="14" t="s">
        <v>345</v>
      </c>
      <c r="G7" s="14" t="s">
        <v>323</v>
      </c>
      <c r="H7" s="14" t="s">
        <v>219</v>
      </c>
      <c r="I7" s="14" t="s">
        <v>42</v>
      </c>
      <c r="J7" s="14" t="s">
        <v>43</v>
      </c>
      <c r="K7" s="14">
        <v>2017</v>
      </c>
      <c r="L7" s="14">
        <v>60007474</v>
      </c>
      <c r="M7" s="14" t="s">
        <v>45</v>
      </c>
      <c r="N7" s="118" t="s">
        <v>430</v>
      </c>
      <c r="O7" s="118" t="s">
        <v>513</v>
      </c>
      <c r="P7" s="120">
        <v>240</v>
      </c>
      <c r="Q7" s="93" t="s">
        <v>494</v>
      </c>
      <c r="R7" s="88"/>
      <c r="S7" s="88"/>
      <c r="T7" s="14"/>
      <c r="U7" s="27"/>
      <c r="V7" s="27"/>
      <c r="W7" s="45"/>
      <c r="X7" s="9"/>
      <c r="Y7" s="14"/>
      <c r="Z7" s="14"/>
    </row>
    <row r="8" spans="2:27" x14ac:dyDescent="0.3">
      <c r="B8" s="2"/>
      <c r="C8" s="167">
        <v>3</v>
      </c>
      <c r="D8" s="14" t="s">
        <v>41</v>
      </c>
      <c r="E8" s="14">
        <v>80</v>
      </c>
      <c r="F8" s="14" t="s">
        <v>345</v>
      </c>
      <c r="G8" s="14" t="s">
        <v>324</v>
      </c>
      <c r="H8" s="14" t="s">
        <v>219</v>
      </c>
      <c r="I8" s="14" t="s">
        <v>42</v>
      </c>
      <c r="J8" s="14" t="s">
        <v>43</v>
      </c>
      <c r="K8" s="14">
        <v>2017</v>
      </c>
      <c r="L8" s="14">
        <v>60007473</v>
      </c>
      <c r="M8" s="14" t="s">
        <v>44</v>
      </c>
      <c r="N8" s="118" t="s">
        <v>430</v>
      </c>
      <c r="O8" s="118" t="s">
        <v>513</v>
      </c>
      <c r="P8" s="120">
        <v>240</v>
      </c>
      <c r="Q8" s="93" t="s">
        <v>494</v>
      </c>
      <c r="R8" s="88"/>
      <c r="S8" s="88"/>
      <c r="T8" s="44"/>
      <c r="U8" s="27"/>
      <c r="V8" s="27"/>
      <c r="W8" s="45"/>
      <c r="X8" s="9"/>
      <c r="Y8" s="14"/>
      <c r="Z8" s="14"/>
    </row>
    <row r="9" spans="2:27" x14ac:dyDescent="0.3">
      <c r="B9" s="3"/>
      <c r="C9" s="167">
        <v>4</v>
      </c>
      <c r="D9" s="14" t="s">
        <v>54</v>
      </c>
      <c r="E9" s="14">
        <v>85</v>
      </c>
      <c r="F9" s="14" t="s">
        <v>345</v>
      </c>
      <c r="G9" s="14" t="s">
        <v>322</v>
      </c>
      <c r="H9" s="14" t="s">
        <v>221</v>
      </c>
      <c r="I9" s="14" t="s">
        <v>42</v>
      </c>
      <c r="J9" s="14" t="s">
        <v>300</v>
      </c>
      <c r="K9" s="14" t="s">
        <v>302</v>
      </c>
      <c r="L9" s="14">
        <v>600029</v>
      </c>
      <c r="M9" s="14">
        <v>551873</v>
      </c>
      <c r="N9" s="115" t="s">
        <v>431</v>
      </c>
      <c r="O9" s="115" t="s">
        <v>513</v>
      </c>
      <c r="P9" s="116">
        <v>85</v>
      </c>
      <c r="Q9" s="94" t="s">
        <v>452</v>
      </c>
      <c r="R9" s="88"/>
      <c r="S9" s="88"/>
      <c r="T9" s="14"/>
      <c r="U9" s="27"/>
      <c r="V9" s="27"/>
      <c r="W9" s="45"/>
      <c r="X9" s="9"/>
      <c r="Y9" s="14"/>
      <c r="Z9" s="14"/>
    </row>
    <row r="10" spans="2:27" x14ac:dyDescent="0.3">
      <c r="B10" s="3"/>
      <c r="C10" s="167">
        <v>5</v>
      </c>
      <c r="D10" s="14" t="s">
        <v>54</v>
      </c>
      <c r="E10" s="14">
        <v>85</v>
      </c>
      <c r="F10" s="14" t="s">
        <v>345</v>
      </c>
      <c r="G10" s="14" t="s">
        <v>323</v>
      </c>
      <c r="H10" s="14" t="s">
        <v>221</v>
      </c>
      <c r="I10" s="14" t="s">
        <v>42</v>
      </c>
      <c r="J10" s="14" t="s">
        <v>300</v>
      </c>
      <c r="K10" s="14" t="s">
        <v>301</v>
      </c>
      <c r="L10" s="14">
        <v>600031</v>
      </c>
      <c r="M10" s="14">
        <v>551875</v>
      </c>
      <c r="N10" s="115" t="s">
        <v>431</v>
      </c>
      <c r="O10" s="115" t="s">
        <v>513</v>
      </c>
      <c r="P10" s="116">
        <v>85</v>
      </c>
      <c r="Q10" s="94" t="s">
        <v>452</v>
      </c>
      <c r="R10" s="88"/>
      <c r="S10" s="88"/>
      <c r="T10" s="14"/>
      <c r="U10" s="27"/>
      <c r="V10" s="27"/>
      <c r="W10" s="45"/>
      <c r="X10" s="9"/>
      <c r="Y10" s="14" t="s">
        <v>402</v>
      </c>
      <c r="Z10" s="14"/>
    </row>
    <row r="11" spans="2:27" x14ac:dyDescent="0.3">
      <c r="B11" s="3"/>
      <c r="C11" s="167">
        <v>6</v>
      </c>
      <c r="D11" s="14" t="s">
        <v>54</v>
      </c>
      <c r="E11" s="14">
        <v>85</v>
      </c>
      <c r="F11" s="14" t="s">
        <v>345</v>
      </c>
      <c r="G11" s="14" t="s">
        <v>324</v>
      </c>
      <c r="H11" s="14" t="s">
        <v>221</v>
      </c>
      <c r="I11" s="14" t="s">
        <v>42</v>
      </c>
      <c r="J11" s="14" t="s">
        <v>300</v>
      </c>
      <c r="K11" s="14" t="s">
        <v>330</v>
      </c>
      <c r="L11" s="14">
        <v>600030</v>
      </c>
      <c r="M11" s="14">
        <v>551874</v>
      </c>
      <c r="N11" s="115" t="s">
        <v>431</v>
      </c>
      <c r="O11" s="115" t="s">
        <v>513</v>
      </c>
      <c r="P11" s="116">
        <v>85</v>
      </c>
      <c r="Q11" s="94" t="s">
        <v>452</v>
      </c>
      <c r="R11" s="88"/>
      <c r="S11" s="88"/>
      <c r="T11" s="22"/>
      <c r="U11" s="27"/>
      <c r="V11" s="27"/>
      <c r="W11" s="45"/>
      <c r="X11" s="9"/>
      <c r="Y11" s="14"/>
      <c r="Z11" s="14"/>
    </row>
    <row r="12" spans="2:27" x14ac:dyDescent="0.3">
      <c r="B12" s="3"/>
      <c r="C12" s="167">
        <v>7</v>
      </c>
      <c r="D12" s="14" t="s">
        <v>2</v>
      </c>
      <c r="E12" s="14">
        <v>40</v>
      </c>
      <c r="F12" s="14" t="s">
        <v>346</v>
      </c>
      <c r="G12" s="14" t="s">
        <v>322</v>
      </c>
      <c r="H12" s="14" t="s">
        <v>365</v>
      </c>
      <c r="I12" s="14" t="s">
        <v>42</v>
      </c>
      <c r="J12" s="14" t="s">
        <v>56</v>
      </c>
      <c r="K12" s="14">
        <v>1977</v>
      </c>
      <c r="L12" s="25" t="s">
        <v>57</v>
      </c>
      <c r="M12" s="25" t="s">
        <v>58</v>
      </c>
      <c r="N12" s="115" t="s">
        <v>431</v>
      </c>
      <c r="O12" s="115" t="s">
        <v>516</v>
      </c>
      <c r="P12" s="116">
        <v>120</v>
      </c>
      <c r="Q12" s="94" t="s">
        <v>447</v>
      </c>
      <c r="R12" s="116" t="s">
        <v>447</v>
      </c>
      <c r="S12" s="94" t="s">
        <v>538</v>
      </c>
      <c r="T12" s="22"/>
      <c r="U12" s="27" t="s">
        <v>351</v>
      </c>
      <c r="V12" s="163" t="s">
        <v>600</v>
      </c>
      <c r="W12" s="45"/>
      <c r="X12" s="9"/>
      <c r="Y12" s="14" t="s">
        <v>390</v>
      </c>
      <c r="Z12" s="14"/>
    </row>
    <row r="13" spans="2:27" x14ac:dyDescent="0.3">
      <c r="B13" s="3"/>
      <c r="C13" s="167">
        <v>8</v>
      </c>
      <c r="D13" s="14" t="s">
        <v>2</v>
      </c>
      <c r="E13" s="14">
        <v>40</v>
      </c>
      <c r="F13" s="14" t="s">
        <v>346</v>
      </c>
      <c r="G13" s="14" t="s">
        <v>323</v>
      </c>
      <c r="H13" s="14" t="s">
        <v>365</v>
      </c>
      <c r="I13" s="14" t="s">
        <v>42</v>
      </c>
      <c r="J13" s="14" t="s">
        <v>56</v>
      </c>
      <c r="K13" s="14">
        <v>1977</v>
      </c>
      <c r="L13" s="25" t="s">
        <v>59</v>
      </c>
      <c r="M13" s="25" t="s">
        <v>62</v>
      </c>
      <c r="N13" s="115" t="s">
        <v>431</v>
      </c>
      <c r="O13" s="115" t="s">
        <v>516</v>
      </c>
      <c r="P13" s="116">
        <v>120</v>
      </c>
      <c r="Q13" s="94" t="s">
        <v>447</v>
      </c>
      <c r="R13" s="116" t="s">
        <v>447</v>
      </c>
      <c r="S13" s="94" t="s">
        <v>538</v>
      </c>
      <c r="T13" s="25"/>
      <c r="U13" s="27" t="s">
        <v>351</v>
      </c>
      <c r="V13" s="163" t="s">
        <v>600</v>
      </c>
      <c r="W13" s="45"/>
      <c r="X13" s="9"/>
      <c r="Y13" s="14" t="s">
        <v>393</v>
      </c>
      <c r="Z13" s="14"/>
    </row>
    <row r="14" spans="2:27" x14ac:dyDescent="0.3">
      <c r="B14" s="3"/>
      <c r="C14" s="167">
        <v>9</v>
      </c>
      <c r="D14" s="14" t="s">
        <v>2</v>
      </c>
      <c r="E14" s="14">
        <v>40</v>
      </c>
      <c r="F14" s="14" t="s">
        <v>346</v>
      </c>
      <c r="G14" s="14" t="s">
        <v>324</v>
      </c>
      <c r="H14" s="14" t="s">
        <v>365</v>
      </c>
      <c r="I14" s="14" t="s">
        <v>42</v>
      </c>
      <c r="J14" s="14" t="s">
        <v>56</v>
      </c>
      <c r="K14" s="14">
        <v>1977</v>
      </c>
      <c r="L14" s="25" t="s">
        <v>61</v>
      </c>
      <c r="M14" s="25" t="s">
        <v>60</v>
      </c>
      <c r="N14" s="115" t="s">
        <v>431</v>
      </c>
      <c r="O14" s="115" t="s">
        <v>516</v>
      </c>
      <c r="P14" s="116">
        <v>120</v>
      </c>
      <c r="Q14" s="94" t="s">
        <v>447</v>
      </c>
      <c r="R14" s="116" t="s">
        <v>447</v>
      </c>
      <c r="S14" s="94" t="s">
        <v>538</v>
      </c>
      <c r="T14" s="25"/>
      <c r="U14" s="27" t="s">
        <v>351</v>
      </c>
      <c r="V14" s="163" t="s">
        <v>600</v>
      </c>
      <c r="W14" s="45"/>
      <c r="X14" s="9"/>
      <c r="Y14" s="14" t="s">
        <v>391</v>
      </c>
      <c r="Z14" s="14"/>
    </row>
    <row r="15" spans="2:27" x14ac:dyDescent="0.3">
      <c r="B15" s="3"/>
      <c r="C15" s="167">
        <v>10</v>
      </c>
      <c r="D15" s="14" t="s">
        <v>2</v>
      </c>
      <c r="E15" s="14">
        <v>60</v>
      </c>
      <c r="F15" s="14" t="s">
        <v>347</v>
      </c>
      <c r="G15" s="14" t="s">
        <v>322</v>
      </c>
      <c r="H15" s="14" t="s">
        <v>366</v>
      </c>
      <c r="I15" s="14" t="s">
        <v>63</v>
      </c>
      <c r="J15" s="14" t="s">
        <v>43</v>
      </c>
      <c r="K15" s="14">
        <v>2006</v>
      </c>
      <c r="L15" s="14">
        <v>60003188</v>
      </c>
      <c r="M15" s="14">
        <v>185634</v>
      </c>
      <c r="N15" s="115" t="s">
        <v>431</v>
      </c>
      <c r="O15" s="115" t="s">
        <v>516</v>
      </c>
      <c r="P15" s="116">
        <v>120</v>
      </c>
      <c r="Q15" s="94" t="s">
        <v>474</v>
      </c>
      <c r="R15" s="94"/>
      <c r="S15" s="94"/>
      <c r="T15" s="22"/>
      <c r="U15" s="56" t="s">
        <v>411</v>
      </c>
      <c r="V15" s="163" t="s">
        <v>600</v>
      </c>
      <c r="W15" s="45"/>
      <c r="X15" s="9"/>
      <c r="Y15" s="14" t="s">
        <v>391</v>
      </c>
      <c r="Z15" s="14"/>
    </row>
    <row r="16" spans="2:27" x14ac:dyDescent="0.3">
      <c r="B16" s="3"/>
      <c r="C16" s="167">
        <v>11</v>
      </c>
      <c r="D16" s="14" t="s">
        <v>2</v>
      </c>
      <c r="E16" s="14">
        <v>60</v>
      </c>
      <c r="F16" s="14" t="s">
        <v>347</v>
      </c>
      <c r="G16" s="14" t="s">
        <v>323</v>
      </c>
      <c r="H16" s="14" t="s">
        <v>366</v>
      </c>
      <c r="I16" s="14" t="s">
        <v>63</v>
      </c>
      <c r="J16" s="14" t="s">
        <v>43</v>
      </c>
      <c r="K16" s="14">
        <v>2006</v>
      </c>
      <c r="L16" s="14">
        <v>60003189</v>
      </c>
      <c r="M16" s="14">
        <v>185635</v>
      </c>
      <c r="N16" s="115" t="s">
        <v>431</v>
      </c>
      <c r="O16" s="115" t="s">
        <v>516</v>
      </c>
      <c r="P16" s="116">
        <v>120</v>
      </c>
      <c r="Q16" s="94" t="s">
        <v>474</v>
      </c>
      <c r="R16" s="94"/>
      <c r="S16" s="94"/>
      <c r="T16" s="25"/>
      <c r="U16" s="56" t="s">
        <v>411</v>
      </c>
      <c r="V16" s="161" t="s">
        <v>601</v>
      </c>
      <c r="W16" s="45"/>
      <c r="X16" s="9"/>
      <c r="Y16" s="14" t="s">
        <v>392</v>
      </c>
      <c r="Z16" s="14"/>
    </row>
    <row r="17" spans="2:26" x14ac:dyDescent="0.3">
      <c r="B17" s="3"/>
      <c r="C17" s="167">
        <v>12</v>
      </c>
      <c r="D17" s="14" t="s">
        <v>2</v>
      </c>
      <c r="E17" s="14">
        <v>60</v>
      </c>
      <c r="F17" s="14" t="s">
        <v>347</v>
      </c>
      <c r="G17" s="14" t="s">
        <v>324</v>
      </c>
      <c r="H17" s="14" t="s">
        <v>366</v>
      </c>
      <c r="I17" s="14" t="s">
        <v>63</v>
      </c>
      <c r="J17" s="14" t="s">
        <v>43</v>
      </c>
      <c r="K17" s="14">
        <v>2006</v>
      </c>
      <c r="L17" s="14">
        <v>60003190</v>
      </c>
      <c r="M17" s="14">
        <v>185636</v>
      </c>
      <c r="N17" s="115" t="s">
        <v>431</v>
      </c>
      <c r="O17" s="115" t="s">
        <v>516</v>
      </c>
      <c r="P17" s="116">
        <v>120</v>
      </c>
      <c r="Q17" s="94" t="s">
        <v>474</v>
      </c>
      <c r="R17" s="94"/>
      <c r="S17" s="94"/>
      <c r="T17" s="25"/>
      <c r="U17" s="56" t="s">
        <v>411</v>
      </c>
      <c r="V17" s="163" t="s">
        <v>600</v>
      </c>
      <c r="W17" s="45"/>
      <c r="X17" s="9"/>
      <c r="Y17" s="14" t="s">
        <v>392</v>
      </c>
      <c r="Z17" s="14"/>
    </row>
    <row r="18" spans="2:26" x14ac:dyDescent="0.3">
      <c r="B18" s="3"/>
      <c r="C18" s="167">
        <v>13</v>
      </c>
      <c r="D18" s="14" t="s">
        <v>2</v>
      </c>
      <c r="E18" s="14">
        <v>60</v>
      </c>
      <c r="F18" s="89" t="s">
        <v>348</v>
      </c>
      <c r="G18" s="89" t="s">
        <v>322</v>
      </c>
      <c r="H18" s="14" t="s">
        <v>366</v>
      </c>
      <c r="I18" s="14" t="s">
        <v>42</v>
      </c>
      <c r="J18" s="14" t="s">
        <v>43</v>
      </c>
      <c r="K18" s="14">
        <v>2012</v>
      </c>
      <c r="L18" s="14">
        <v>60005401</v>
      </c>
      <c r="M18" s="89" t="s">
        <v>64</v>
      </c>
      <c r="N18" s="118" t="s">
        <v>430</v>
      </c>
      <c r="O18" s="118" t="s">
        <v>513</v>
      </c>
      <c r="P18" s="120">
        <v>180</v>
      </c>
      <c r="Q18" s="93" t="s">
        <v>460</v>
      </c>
      <c r="R18" s="116" t="s">
        <v>460</v>
      </c>
      <c r="S18" s="94" t="s">
        <v>539</v>
      </c>
      <c r="T18" s="22"/>
      <c r="U18" s="56"/>
      <c r="V18" s="56"/>
      <c r="W18" s="45"/>
      <c r="X18" s="9"/>
      <c r="Y18" s="14" t="s">
        <v>397</v>
      </c>
      <c r="Z18" s="14">
        <v>5.5</v>
      </c>
    </row>
    <row r="19" spans="2:26" x14ac:dyDescent="0.3">
      <c r="B19" s="3"/>
      <c r="C19" s="167">
        <v>14</v>
      </c>
      <c r="D19" s="14" t="s">
        <v>2</v>
      </c>
      <c r="E19" s="14">
        <v>60</v>
      </c>
      <c r="F19" s="89" t="s">
        <v>348</v>
      </c>
      <c r="G19" s="89" t="s">
        <v>323</v>
      </c>
      <c r="H19" s="14" t="s">
        <v>366</v>
      </c>
      <c r="I19" s="14" t="s">
        <v>42</v>
      </c>
      <c r="J19" s="14" t="s">
        <v>43</v>
      </c>
      <c r="K19" s="14">
        <v>2012</v>
      </c>
      <c r="L19" s="14">
        <v>60005402</v>
      </c>
      <c r="M19" s="89" t="s">
        <v>65</v>
      </c>
      <c r="N19" s="118" t="s">
        <v>430</v>
      </c>
      <c r="O19" s="118" t="s">
        <v>513</v>
      </c>
      <c r="P19" s="120">
        <v>180</v>
      </c>
      <c r="Q19" s="93" t="s">
        <v>460</v>
      </c>
      <c r="R19" s="116" t="s">
        <v>460</v>
      </c>
      <c r="S19" s="94" t="s">
        <v>539</v>
      </c>
      <c r="T19" s="14"/>
      <c r="U19" s="56"/>
      <c r="V19" s="56"/>
      <c r="W19" s="45"/>
      <c r="X19" s="9"/>
      <c r="Y19" s="14" t="s">
        <v>398</v>
      </c>
      <c r="Z19" s="14">
        <v>5.5</v>
      </c>
    </row>
    <row r="20" spans="2:26" x14ac:dyDescent="0.3">
      <c r="B20" s="3"/>
      <c r="C20" s="167">
        <v>15</v>
      </c>
      <c r="D20" s="14" t="s">
        <v>2</v>
      </c>
      <c r="E20" s="14">
        <v>60</v>
      </c>
      <c r="F20" s="89" t="s">
        <v>348</v>
      </c>
      <c r="G20" s="89" t="s">
        <v>324</v>
      </c>
      <c r="H20" s="14" t="s">
        <v>366</v>
      </c>
      <c r="I20" s="14" t="s">
        <v>42</v>
      </c>
      <c r="J20" s="14" t="s">
        <v>43</v>
      </c>
      <c r="K20" s="14">
        <v>2012</v>
      </c>
      <c r="L20" s="14">
        <v>60005403</v>
      </c>
      <c r="M20" s="89" t="s">
        <v>66</v>
      </c>
      <c r="N20" s="118" t="s">
        <v>430</v>
      </c>
      <c r="O20" s="118" t="s">
        <v>513</v>
      </c>
      <c r="P20" s="120">
        <v>180</v>
      </c>
      <c r="Q20" s="93" t="s">
        <v>460</v>
      </c>
      <c r="R20" s="116" t="s">
        <v>460</v>
      </c>
      <c r="S20" s="94" t="s">
        <v>539</v>
      </c>
      <c r="T20" s="14"/>
      <c r="U20" s="56"/>
      <c r="V20" s="56"/>
      <c r="W20" s="45"/>
      <c r="X20" s="9"/>
      <c r="Y20" s="14" t="s">
        <v>399</v>
      </c>
      <c r="Z20" s="14">
        <v>5.5</v>
      </c>
    </row>
    <row r="21" spans="2:26" x14ac:dyDescent="0.3">
      <c r="B21" s="3"/>
      <c r="C21" s="167">
        <v>16</v>
      </c>
      <c r="D21" s="14" t="s">
        <v>2</v>
      </c>
      <c r="E21" s="14">
        <v>40</v>
      </c>
      <c r="F21" s="14" t="s">
        <v>349</v>
      </c>
      <c r="G21" s="14" t="s">
        <v>322</v>
      </c>
      <c r="H21" s="14" t="s">
        <v>365</v>
      </c>
      <c r="I21" s="14" t="s">
        <v>42</v>
      </c>
      <c r="J21" s="14" t="s">
        <v>56</v>
      </c>
      <c r="K21" s="14">
        <v>1977</v>
      </c>
      <c r="L21" s="25">
        <v>600049</v>
      </c>
      <c r="M21" s="89" t="s">
        <v>67</v>
      </c>
      <c r="N21" s="118" t="s">
        <v>430</v>
      </c>
      <c r="O21" s="118" t="s">
        <v>513</v>
      </c>
      <c r="P21" s="120">
        <v>180</v>
      </c>
      <c r="Q21" s="93" t="s">
        <v>474</v>
      </c>
      <c r="R21" s="94" t="s">
        <v>474</v>
      </c>
      <c r="S21" s="94" t="s">
        <v>538</v>
      </c>
      <c r="T21" s="22"/>
      <c r="U21" s="27" t="s">
        <v>351</v>
      </c>
      <c r="V21" s="163" t="s">
        <v>600</v>
      </c>
      <c r="W21" s="45"/>
      <c r="X21" s="9"/>
      <c r="Y21" s="14"/>
      <c r="Z21" s="14"/>
    </row>
    <row r="22" spans="2:26" x14ac:dyDescent="0.3">
      <c r="B22" s="3"/>
      <c r="C22" s="167">
        <v>17</v>
      </c>
      <c r="D22" s="14" t="s">
        <v>2</v>
      </c>
      <c r="E22" s="14">
        <v>40</v>
      </c>
      <c r="F22" s="14" t="s">
        <v>349</v>
      </c>
      <c r="G22" s="14" t="s">
        <v>323</v>
      </c>
      <c r="H22" s="14" t="s">
        <v>365</v>
      </c>
      <c r="I22" s="14" t="s">
        <v>42</v>
      </c>
      <c r="J22" s="14" t="s">
        <v>56</v>
      </c>
      <c r="K22" s="14">
        <v>1977</v>
      </c>
      <c r="L22" s="25">
        <v>600052</v>
      </c>
      <c r="M22" s="89" t="s">
        <v>68</v>
      </c>
      <c r="N22" s="118" t="s">
        <v>430</v>
      </c>
      <c r="O22" s="118" t="s">
        <v>513</v>
      </c>
      <c r="P22" s="120">
        <v>180</v>
      </c>
      <c r="Q22" s="93" t="s">
        <v>474</v>
      </c>
      <c r="R22" s="94" t="s">
        <v>474</v>
      </c>
      <c r="S22" s="94" t="s">
        <v>538</v>
      </c>
      <c r="T22" s="14"/>
      <c r="U22" s="27" t="s">
        <v>351</v>
      </c>
      <c r="V22" s="163" t="s">
        <v>600</v>
      </c>
      <c r="W22" s="45"/>
      <c r="X22" s="9"/>
      <c r="Y22" s="14"/>
      <c r="Z22" s="14"/>
    </row>
    <row r="23" spans="2:26" x14ac:dyDescent="0.3">
      <c r="B23" s="3"/>
      <c r="C23" s="167">
        <v>18</v>
      </c>
      <c r="D23" s="14" t="s">
        <v>2</v>
      </c>
      <c r="E23" s="14">
        <v>40</v>
      </c>
      <c r="F23" s="14" t="s">
        <v>349</v>
      </c>
      <c r="G23" s="14" t="s">
        <v>324</v>
      </c>
      <c r="H23" s="14" t="s">
        <v>365</v>
      </c>
      <c r="I23" s="14" t="s">
        <v>42</v>
      </c>
      <c r="J23" s="14" t="s">
        <v>56</v>
      </c>
      <c r="K23" s="14">
        <v>1977</v>
      </c>
      <c r="L23" s="25">
        <v>600053</v>
      </c>
      <c r="M23" s="89" t="s">
        <v>69</v>
      </c>
      <c r="N23" s="118" t="s">
        <v>430</v>
      </c>
      <c r="O23" s="118" t="s">
        <v>513</v>
      </c>
      <c r="P23" s="120">
        <v>180</v>
      </c>
      <c r="Q23" s="93" t="s">
        <v>474</v>
      </c>
      <c r="R23" s="94" t="s">
        <v>474</v>
      </c>
      <c r="S23" s="94" t="s">
        <v>538</v>
      </c>
      <c r="T23" s="14"/>
      <c r="U23" s="27" t="s">
        <v>351</v>
      </c>
      <c r="V23" s="163" t="s">
        <v>600</v>
      </c>
      <c r="W23" s="45"/>
      <c r="X23" s="9"/>
      <c r="Y23" s="14"/>
      <c r="Z23" s="14"/>
    </row>
    <row r="24" spans="2:26" x14ac:dyDescent="0.3">
      <c r="B24" s="3"/>
      <c r="C24" s="167">
        <v>19</v>
      </c>
      <c r="D24" s="14" t="s">
        <v>3</v>
      </c>
      <c r="E24" s="14">
        <v>40</v>
      </c>
      <c r="F24" s="14" t="s">
        <v>345</v>
      </c>
      <c r="G24" s="14" t="s">
        <v>322</v>
      </c>
      <c r="H24" s="14" t="s">
        <v>365</v>
      </c>
      <c r="I24" s="14" t="s">
        <v>42</v>
      </c>
      <c r="J24" s="14" t="s">
        <v>74</v>
      </c>
      <c r="K24" s="14">
        <v>1976</v>
      </c>
      <c r="L24" s="25">
        <v>600038</v>
      </c>
      <c r="M24" s="25" t="s">
        <v>76</v>
      </c>
      <c r="N24" s="115" t="s">
        <v>431</v>
      </c>
      <c r="O24" s="115" t="s">
        <v>516</v>
      </c>
      <c r="P24" s="116">
        <v>120</v>
      </c>
      <c r="Q24" s="94" t="s">
        <v>460</v>
      </c>
      <c r="R24" s="88"/>
      <c r="S24" s="88"/>
      <c r="T24" s="163" t="s">
        <v>595</v>
      </c>
      <c r="U24" s="162" t="s">
        <v>594</v>
      </c>
      <c r="V24" s="162"/>
      <c r="W24" s="45"/>
      <c r="X24" s="9"/>
      <c r="Y24" s="14" t="s">
        <v>389</v>
      </c>
      <c r="Z24" s="14"/>
    </row>
    <row r="25" spans="2:26" x14ac:dyDescent="0.3">
      <c r="B25" s="3"/>
      <c r="C25" s="167">
        <v>20</v>
      </c>
      <c r="D25" s="14" t="s">
        <v>3</v>
      </c>
      <c r="E25" s="14">
        <v>40</v>
      </c>
      <c r="F25" s="14" t="s">
        <v>345</v>
      </c>
      <c r="G25" s="14" t="s">
        <v>323</v>
      </c>
      <c r="H25" s="14" t="s">
        <v>365</v>
      </c>
      <c r="I25" s="14" t="s">
        <v>42</v>
      </c>
      <c r="J25" s="14" t="s">
        <v>74</v>
      </c>
      <c r="K25" s="14">
        <v>1976</v>
      </c>
      <c r="L25" s="25">
        <v>600037</v>
      </c>
      <c r="M25" s="25" t="s">
        <v>75</v>
      </c>
      <c r="N25" s="115" t="s">
        <v>431</v>
      </c>
      <c r="O25" s="115" t="s">
        <v>516</v>
      </c>
      <c r="P25" s="116">
        <v>120</v>
      </c>
      <c r="Q25" s="94" t="s">
        <v>460</v>
      </c>
      <c r="R25" s="88"/>
      <c r="S25" s="88"/>
      <c r="T25" s="163" t="s">
        <v>595</v>
      </c>
      <c r="U25" s="162" t="s">
        <v>594</v>
      </c>
      <c r="V25" s="162"/>
      <c r="W25" s="45"/>
      <c r="X25" s="9"/>
      <c r="Y25" s="14" t="s">
        <v>389</v>
      </c>
      <c r="Z25" s="14"/>
    </row>
    <row r="26" spans="2:26" x14ac:dyDescent="0.3">
      <c r="B26" s="3"/>
      <c r="C26" s="167">
        <v>21</v>
      </c>
      <c r="D26" s="14" t="s">
        <v>3</v>
      </c>
      <c r="E26" s="14">
        <v>40</v>
      </c>
      <c r="F26" s="14" t="s">
        <v>345</v>
      </c>
      <c r="G26" s="14" t="s">
        <v>324</v>
      </c>
      <c r="H26" s="14" t="s">
        <v>365</v>
      </c>
      <c r="I26" s="14" t="s">
        <v>42</v>
      </c>
      <c r="J26" s="14" t="s">
        <v>74</v>
      </c>
      <c r="K26" s="14">
        <v>1976</v>
      </c>
      <c r="L26" s="25">
        <v>600040</v>
      </c>
      <c r="M26" s="25" t="s">
        <v>77</v>
      </c>
      <c r="N26" s="115" t="s">
        <v>431</v>
      </c>
      <c r="O26" s="115" t="s">
        <v>516</v>
      </c>
      <c r="P26" s="116">
        <v>120</v>
      </c>
      <c r="Q26" s="94" t="s">
        <v>460</v>
      </c>
      <c r="R26" s="88"/>
      <c r="S26" s="88"/>
      <c r="T26" s="25"/>
      <c r="U26" s="162" t="s">
        <v>594</v>
      </c>
      <c r="V26" s="162"/>
      <c r="W26" s="45"/>
      <c r="X26" s="9"/>
      <c r="Y26" s="14" t="s">
        <v>389</v>
      </c>
      <c r="Z26" s="14"/>
    </row>
    <row r="27" spans="2:26" x14ac:dyDescent="0.3">
      <c r="B27" s="3"/>
      <c r="C27" s="167">
        <v>22</v>
      </c>
      <c r="D27" s="14" t="s">
        <v>230</v>
      </c>
      <c r="E27" s="14">
        <v>80</v>
      </c>
      <c r="F27" s="14" t="s">
        <v>345</v>
      </c>
      <c r="G27" s="14" t="s">
        <v>322</v>
      </c>
      <c r="H27" s="14" t="s">
        <v>219</v>
      </c>
      <c r="I27" s="14" t="s">
        <v>42</v>
      </c>
      <c r="J27" s="14" t="s">
        <v>43</v>
      </c>
      <c r="K27" s="14">
        <v>2013</v>
      </c>
      <c r="L27" s="14">
        <v>60006096</v>
      </c>
      <c r="M27" s="14" t="s">
        <v>79</v>
      </c>
      <c r="N27" s="118" t="s">
        <v>430</v>
      </c>
      <c r="O27" s="118" t="s">
        <v>513</v>
      </c>
      <c r="P27" s="120">
        <v>240</v>
      </c>
      <c r="Q27" s="117" t="s">
        <v>479</v>
      </c>
      <c r="R27" s="88"/>
      <c r="S27" s="88"/>
      <c r="T27" s="22"/>
      <c r="U27" s="27"/>
      <c r="V27" s="27"/>
      <c r="W27" s="45"/>
      <c r="X27" s="128" t="s">
        <v>218</v>
      </c>
      <c r="Y27" s="14"/>
      <c r="Z27" s="14"/>
    </row>
    <row r="28" spans="2:26" x14ac:dyDescent="0.3">
      <c r="B28" s="3"/>
      <c r="C28" s="167">
        <v>23</v>
      </c>
      <c r="D28" s="14" t="s">
        <v>230</v>
      </c>
      <c r="E28" s="14">
        <v>80</v>
      </c>
      <c r="F28" s="14" t="s">
        <v>345</v>
      </c>
      <c r="G28" s="14" t="s">
        <v>323</v>
      </c>
      <c r="H28" s="14" t="s">
        <v>219</v>
      </c>
      <c r="I28" s="14" t="s">
        <v>42</v>
      </c>
      <c r="J28" s="14" t="s">
        <v>43</v>
      </c>
      <c r="K28" s="14">
        <v>2013</v>
      </c>
      <c r="L28" s="14">
        <v>60005711</v>
      </c>
      <c r="M28" s="14" t="s">
        <v>78</v>
      </c>
      <c r="N28" s="118" t="s">
        <v>430</v>
      </c>
      <c r="O28" s="118" t="s">
        <v>513</v>
      </c>
      <c r="P28" s="120">
        <v>240</v>
      </c>
      <c r="Q28" s="93" t="s">
        <v>478</v>
      </c>
      <c r="R28" s="88"/>
      <c r="S28" s="88"/>
      <c r="T28" s="14"/>
      <c r="U28" s="27"/>
      <c r="V28" s="27"/>
      <c r="W28" s="45"/>
      <c r="X28" s="9"/>
      <c r="Y28" s="14"/>
      <c r="Z28" s="14"/>
    </row>
    <row r="29" spans="2:26" x14ac:dyDescent="0.3">
      <c r="B29" s="3"/>
      <c r="C29" s="167">
        <v>24</v>
      </c>
      <c r="D29" s="14" t="s">
        <v>230</v>
      </c>
      <c r="E29" s="14">
        <v>80</v>
      </c>
      <c r="F29" s="14" t="s">
        <v>345</v>
      </c>
      <c r="G29" s="14" t="s">
        <v>324</v>
      </c>
      <c r="H29" s="14" t="s">
        <v>219</v>
      </c>
      <c r="I29" s="14" t="s">
        <v>42</v>
      </c>
      <c r="J29" s="14" t="s">
        <v>43</v>
      </c>
      <c r="K29" s="14">
        <v>2013</v>
      </c>
      <c r="L29" s="14">
        <v>60005713</v>
      </c>
      <c r="M29" s="14" t="s">
        <v>80</v>
      </c>
      <c r="N29" s="118" t="s">
        <v>430</v>
      </c>
      <c r="O29" s="118" t="s">
        <v>513</v>
      </c>
      <c r="P29" s="120">
        <v>240</v>
      </c>
      <c r="Q29" s="93" t="s">
        <v>478</v>
      </c>
      <c r="R29" s="88"/>
      <c r="S29" s="88"/>
      <c r="T29" s="14"/>
      <c r="U29" s="27"/>
      <c r="V29" s="27"/>
      <c r="W29" s="45"/>
      <c r="X29" s="9"/>
      <c r="Y29" s="14"/>
      <c r="Z29" s="14"/>
    </row>
    <row r="30" spans="2:26" x14ac:dyDescent="0.3">
      <c r="B30" s="3"/>
      <c r="C30" s="167">
        <v>25</v>
      </c>
      <c r="D30" s="14" t="s">
        <v>47</v>
      </c>
      <c r="E30" s="14">
        <v>40</v>
      </c>
      <c r="F30" s="14" t="s">
        <v>345</v>
      </c>
      <c r="G30" s="14" t="s">
        <v>322</v>
      </c>
      <c r="H30" s="14" t="s">
        <v>222</v>
      </c>
      <c r="I30" s="14" t="s">
        <v>49</v>
      </c>
      <c r="J30" s="14" t="s">
        <v>43</v>
      </c>
      <c r="K30" s="14">
        <v>2017</v>
      </c>
      <c r="L30" s="14">
        <v>60007691</v>
      </c>
      <c r="M30" s="14" t="s">
        <v>223</v>
      </c>
      <c r="N30" s="118" t="s">
        <v>430</v>
      </c>
      <c r="O30" s="118" t="s">
        <v>513</v>
      </c>
      <c r="P30" s="120">
        <v>120</v>
      </c>
      <c r="Q30" s="117" t="s">
        <v>426</v>
      </c>
      <c r="R30" s="88"/>
      <c r="S30" s="88"/>
      <c r="T30" s="14"/>
      <c r="U30" s="27"/>
      <c r="V30" s="27"/>
      <c r="W30" s="45"/>
      <c r="X30" s="128" t="s">
        <v>218</v>
      </c>
      <c r="Y30" s="14"/>
      <c r="Z30" s="14"/>
    </row>
    <row r="31" spans="2:26" x14ac:dyDescent="0.3">
      <c r="B31" s="3"/>
      <c r="C31" s="167">
        <v>26</v>
      </c>
      <c r="D31" s="14" t="s">
        <v>47</v>
      </c>
      <c r="E31" s="14">
        <v>40</v>
      </c>
      <c r="F31" s="14" t="s">
        <v>345</v>
      </c>
      <c r="G31" s="14" t="s">
        <v>323</v>
      </c>
      <c r="H31" s="14" t="s">
        <v>222</v>
      </c>
      <c r="I31" s="14" t="s">
        <v>49</v>
      </c>
      <c r="J31" s="14" t="s">
        <v>50</v>
      </c>
      <c r="K31" s="14">
        <v>1998</v>
      </c>
      <c r="L31" s="14">
        <v>60000005</v>
      </c>
      <c r="M31" s="14" t="s">
        <v>52</v>
      </c>
      <c r="N31" s="115" t="s">
        <v>431</v>
      </c>
      <c r="O31" s="115" t="s">
        <v>513</v>
      </c>
      <c r="P31" s="116">
        <v>120</v>
      </c>
      <c r="Q31" s="94" t="s">
        <v>468</v>
      </c>
      <c r="R31" s="88"/>
      <c r="S31" s="88"/>
      <c r="T31" s="14"/>
      <c r="U31" s="27"/>
      <c r="V31" s="27"/>
      <c r="W31" s="45"/>
      <c r="X31" s="9"/>
      <c r="Y31" s="14"/>
      <c r="Z31" s="14"/>
    </row>
    <row r="32" spans="2:26" x14ac:dyDescent="0.3">
      <c r="B32" s="3"/>
      <c r="C32" s="167">
        <v>27</v>
      </c>
      <c r="D32" s="14" t="s">
        <v>47</v>
      </c>
      <c r="E32" s="14">
        <v>40</v>
      </c>
      <c r="F32" s="14" t="s">
        <v>345</v>
      </c>
      <c r="G32" s="14" t="s">
        <v>324</v>
      </c>
      <c r="H32" s="14" t="s">
        <v>222</v>
      </c>
      <c r="I32" s="14" t="s">
        <v>49</v>
      </c>
      <c r="J32" s="14" t="s">
        <v>50</v>
      </c>
      <c r="K32" s="14">
        <v>1998</v>
      </c>
      <c r="L32" s="14">
        <v>60000006</v>
      </c>
      <c r="M32" s="14" t="s">
        <v>51</v>
      </c>
      <c r="N32" s="115" t="s">
        <v>431</v>
      </c>
      <c r="O32" s="115" t="s">
        <v>513</v>
      </c>
      <c r="P32" s="116">
        <v>120</v>
      </c>
      <c r="Q32" s="94" t="s">
        <v>468</v>
      </c>
      <c r="R32" s="88"/>
      <c r="S32" s="88"/>
      <c r="T32" s="14"/>
      <c r="U32" s="27"/>
      <c r="V32" s="27"/>
      <c r="W32" s="45"/>
      <c r="X32" s="9"/>
      <c r="Y32" s="14"/>
      <c r="Z32" s="14"/>
    </row>
    <row r="33" spans="2:27" x14ac:dyDescent="0.3">
      <c r="B33" s="3"/>
      <c r="C33" s="167">
        <v>28</v>
      </c>
      <c r="D33" s="14" t="s">
        <v>81</v>
      </c>
      <c r="E33" s="14">
        <v>80</v>
      </c>
      <c r="F33" s="14" t="s">
        <v>345</v>
      </c>
      <c r="G33" s="14" t="s">
        <v>322</v>
      </c>
      <c r="H33" s="14" t="s">
        <v>219</v>
      </c>
      <c r="I33" s="14" t="s">
        <v>82</v>
      </c>
      <c r="J33" s="14" t="s">
        <v>43</v>
      </c>
      <c r="K33" s="14">
        <v>2020</v>
      </c>
      <c r="L33" s="14">
        <v>60008796</v>
      </c>
      <c r="M33" s="14" t="s">
        <v>83</v>
      </c>
      <c r="N33" s="118" t="s">
        <v>430</v>
      </c>
      <c r="O33" s="118" t="s">
        <v>513</v>
      </c>
      <c r="P33" s="120">
        <v>240</v>
      </c>
      <c r="Q33" s="93" t="s">
        <v>429</v>
      </c>
      <c r="R33" s="88"/>
      <c r="S33" s="88"/>
      <c r="T33" s="22"/>
      <c r="U33" s="27" t="s">
        <v>350</v>
      </c>
      <c r="V33" s="163" t="s">
        <v>600</v>
      </c>
      <c r="W33" s="45"/>
      <c r="X33" s="9"/>
      <c r="Y33" s="14"/>
      <c r="Z33" s="14"/>
    </row>
    <row r="34" spans="2:27" x14ac:dyDescent="0.3">
      <c r="B34" s="3"/>
      <c r="C34" s="167">
        <v>29</v>
      </c>
      <c r="D34" s="14" t="s">
        <v>81</v>
      </c>
      <c r="E34" s="14">
        <v>80</v>
      </c>
      <c r="F34" s="14" t="s">
        <v>345</v>
      </c>
      <c r="G34" s="14" t="s">
        <v>323</v>
      </c>
      <c r="H34" s="14" t="s">
        <v>219</v>
      </c>
      <c r="I34" s="14" t="s">
        <v>82</v>
      </c>
      <c r="J34" s="14" t="s">
        <v>43</v>
      </c>
      <c r="K34" s="14">
        <v>2020</v>
      </c>
      <c r="L34" s="14">
        <v>60008797</v>
      </c>
      <c r="M34" s="14" t="s">
        <v>84</v>
      </c>
      <c r="N34" s="118" t="s">
        <v>430</v>
      </c>
      <c r="O34" s="118" t="s">
        <v>513</v>
      </c>
      <c r="P34" s="120">
        <v>240</v>
      </c>
      <c r="Q34" s="93" t="s">
        <v>429</v>
      </c>
      <c r="R34" s="88"/>
      <c r="S34" s="88"/>
      <c r="T34" s="46"/>
      <c r="U34" s="27" t="s">
        <v>350</v>
      </c>
      <c r="V34" s="163" t="s">
        <v>600</v>
      </c>
      <c r="W34" s="45"/>
      <c r="X34" s="9"/>
      <c r="Y34" s="14"/>
      <c r="Z34" s="14"/>
    </row>
    <row r="35" spans="2:27" x14ac:dyDescent="0.3">
      <c r="B35" s="3"/>
      <c r="C35" s="167">
        <v>30</v>
      </c>
      <c r="D35" s="14" t="s">
        <v>81</v>
      </c>
      <c r="E35" s="14">
        <v>80</v>
      </c>
      <c r="F35" s="14" t="s">
        <v>345</v>
      </c>
      <c r="G35" s="14" t="s">
        <v>324</v>
      </c>
      <c r="H35" s="14" t="s">
        <v>219</v>
      </c>
      <c r="I35" s="14" t="s">
        <v>82</v>
      </c>
      <c r="J35" s="14" t="s">
        <v>43</v>
      </c>
      <c r="K35" s="14">
        <v>2020</v>
      </c>
      <c r="L35" s="14">
        <v>60008798</v>
      </c>
      <c r="M35" s="14" t="s">
        <v>85</v>
      </c>
      <c r="N35" s="118" t="s">
        <v>430</v>
      </c>
      <c r="O35" s="118" t="s">
        <v>513</v>
      </c>
      <c r="P35" s="120">
        <v>240</v>
      </c>
      <c r="Q35" s="93" t="s">
        <v>429</v>
      </c>
      <c r="R35" s="88"/>
      <c r="S35" s="88"/>
      <c r="T35" s="46"/>
      <c r="U35" s="27" t="s">
        <v>350</v>
      </c>
      <c r="V35" s="163" t="s">
        <v>600</v>
      </c>
      <c r="W35" s="45"/>
      <c r="X35" s="9"/>
      <c r="Y35" s="14"/>
      <c r="Z35" s="14"/>
    </row>
    <row r="36" spans="2:27" x14ac:dyDescent="0.3">
      <c r="B36" s="3"/>
      <c r="C36" s="167">
        <v>31</v>
      </c>
      <c r="D36" s="14" t="s">
        <v>4</v>
      </c>
      <c r="E36" s="14">
        <v>60</v>
      </c>
      <c r="F36" s="89" t="s">
        <v>345</v>
      </c>
      <c r="G36" s="89" t="s">
        <v>322</v>
      </c>
      <c r="H36" s="14" t="s">
        <v>366</v>
      </c>
      <c r="I36" s="14" t="s">
        <v>42</v>
      </c>
      <c r="J36" s="14" t="s">
        <v>50</v>
      </c>
      <c r="K36" s="14">
        <v>2009</v>
      </c>
      <c r="L36" s="14">
        <v>60003952</v>
      </c>
      <c r="M36" s="89" t="s">
        <v>86</v>
      </c>
      <c r="N36" s="118" t="s">
        <v>430</v>
      </c>
      <c r="O36" s="118" t="s">
        <v>513</v>
      </c>
      <c r="P36" s="120">
        <v>180</v>
      </c>
      <c r="Q36" s="93" t="s">
        <v>469</v>
      </c>
      <c r="R36" s="94" t="s">
        <v>469</v>
      </c>
      <c r="S36" s="94" t="s">
        <v>538</v>
      </c>
      <c r="T36" s="22"/>
      <c r="U36" s="27"/>
      <c r="V36" s="27"/>
      <c r="W36" s="45"/>
      <c r="X36" s="9"/>
      <c r="Y36" s="14" t="s">
        <v>374</v>
      </c>
      <c r="Z36" s="14" t="s">
        <v>377</v>
      </c>
      <c r="AA36" s="78" t="s">
        <v>406</v>
      </c>
    </row>
    <row r="37" spans="2:27" x14ac:dyDescent="0.3">
      <c r="B37" s="3"/>
      <c r="C37" s="167">
        <v>32</v>
      </c>
      <c r="D37" s="14" t="s">
        <v>4</v>
      </c>
      <c r="E37" s="14">
        <v>60</v>
      </c>
      <c r="F37" s="89" t="s">
        <v>345</v>
      </c>
      <c r="G37" s="89" t="s">
        <v>323</v>
      </c>
      <c r="H37" s="14" t="s">
        <v>366</v>
      </c>
      <c r="I37" s="14" t="s">
        <v>42</v>
      </c>
      <c r="J37" s="14" t="s">
        <v>50</v>
      </c>
      <c r="K37" s="14">
        <v>2009</v>
      </c>
      <c r="L37" s="14">
        <v>60003953</v>
      </c>
      <c r="M37" s="89" t="s">
        <v>87</v>
      </c>
      <c r="N37" s="118" t="s">
        <v>430</v>
      </c>
      <c r="O37" s="118" t="s">
        <v>513</v>
      </c>
      <c r="P37" s="120">
        <v>180</v>
      </c>
      <c r="Q37" s="93" t="s">
        <v>469</v>
      </c>
      <c r="R37" s="94" t="s">
        <v>469</v>
      </c>
      <c r="S37" s="94" t="s">
        <v>538</v>
      </c>
      <c r="T37" s="14"/>
      <c r="U37" s="27"/>
      <c r="V37" s="27"/>
      <c r="W37" s="45"/>
      <c r="X37" s="9"/>
      <c r="Y37" s="14"/>
      <c r="Z37" s="14"/>
    </row>
    <row r="38" spans="2:27" x14ac:dyDescent="0.3">
      <c r="B38" s="3"/>
      <c r="C38" s="167">
        <v>33</v>
      </c>
      <c r="D38" s="14" t="s">
        <v>4</v>
      </c>
      <c r="E38" s="14">
        <v>60</v>
      </c>
      <c r="F38" s="89" t="s">
        <v>345</v>
      </c>
      <c r="G38" s="89" t="s">
        <v>324</v>
      </c>
      <c r="H38" s="14" t="s">
        <v>366</v>
      </c>
      <c r="I38" s="14" t="s">
        <v>42</v>
      </c>
      <c r="J38" s="14" t="s">
        <v>50</v>
      </c>
      <c r="K38" s="14">
        <v>2009</v>
      </c>
      <c r="L38" s="14">
        <v>60003954</v>
      </c>
      <c r="M38" s="89" t="s">
        <v>88</v>
      </c>
      <c r="N38" s="118" t="s">
        <v>430</v>
      </c>
      <c r="O38" s="118" t="s">
        <v>513</v>
      </c>
      <c r="P38" s="120">
        <v>180</v>
      </c>
      <c r="Q38" s="93" t="s">
        <v>469</v>
      </c>
      <c r="R38" s="94" t="s">
        <v>469</v>
      </c>
      <c r="S38" s="94" t="s">
        <v>538</v>
      </c>
      <c r="T38" s="14"/>
      <c r="U38" s="27"/>
      <c r="V38" s="27"/>
      <c r="W38" s="45"/>
      <c r="X38" s="9"/>
      <c r="Y38" s="14" t="s">
        <v>378</v>
      </c>
      <c r="Z38" s="14" t="s">
        <v>377</v>
      </c>
    </row>
    <row r="39" spans="2:27" x14ac:dyDescent="0.3">
      <c r="B39" s="3"/>
      <c r="C39" s="167">
        <v>34</v>
      </c>
      <c r="D39" s="14" t="s">
        <v>4</v>
      </c>
      <c r="E39" s="14">
        <v>60</v>
      </c>
      <c r="F39" s="89" t="s">
        <v>346</v>
      </c>
      <c r="G39" s="89" t="s">
        <v>322</v>
      </c>
      <c r="H39" s="14" t="s">
        <v>366</v>
      </c>
      <c r="I39" s="14" t="s">
        <v>42</v>
      </c>
      <c r="J39" s="14" t="s">
        <v>43</v>
      </c>
      <c r="K39" s="14">
        <v>2007</v>
      </c>
      <c r="L39" s="14">
        <v>60003766</v>
      </c>
      <c r="M39" s="89">
        <v>185767</v>
      </c>
      <c r="N39" s="118" t="s">
        <v>430</v>
      </c>
      <c r="O39" s="118" t="s">
        <v>513</v>
      </c>
      <c r="P39" s="120">
        <v>180</v>
      </c>
      <c r="Q39" s="93" t="s">
        <v>468</v>
      </c>
      <c r="R39" s="94" t="s">
        <v>468</v>
      </c>
      <c r="S39" s="94" t="s">
        <v>538</v>
      </c>
      <c r="T39" s="22"/>
      <c r="U39" s="27"/>
      <c r="V39" s="27"/>
      <c r="W39" s="45"/>
      <c r="X39" s="9"/>
      <c r="Y39" s="14" t="s">
        <v>401</v>
      </c>
      <c r="Z39" s="14">
        <v>5.13</v>
      </c>
    </row>
    <row r="40" spans="2:27" x14ac:dyDescent="0.3">
      <c r="B40" s="3"/>
      <c r="C40" s="167">
        <v>35</v>
      </c>
      <c r="D40" s="14" t="s">
        <v>4</v>
      </c>
      <c r="E40" s="14">
        <v>60</v>
      </c>
      <c r="F40" s="89" t="s">
        <v>346</v>
      </c>
      <c r="G40" s="89" t="s">
        <v>323</v>
      </c>
      <c r="H40" s="14" t="s">
        <v>366</v>
      </c>
      <c r="I40" s="14" t="s">
        <v>42</v>
      </c>
      <c r="J40" s="14" t="s">
        <v>43</v>
      </c>
      <c r="K40" s="14">
        <v>2007</v>
      </c>
      <c r="L40" s="14">
        <v>60003764</v>
      </c>
      <c r="M40" s="89">
        <v>185766</v>
      </c>
      <c r="N40" s="118" t="s">
        <v>430</v>
      </c>
      <c r="O40" s="118" t="s">
        <v>513</v>
      </c>
      <c r="P40" s="120">
        <v>180</v>
      </c>
      <c r="Q40" s="93" t="s">
        <v>468</v>
      </c>
      <c r="R40" s="94" t="s">
        <v>468</v>
      </c>
      <c r="S40" s="94" t="s">
        <v>538</v>
      </c>
      <c r="T40" s="14"/>
      <c r="U40" s="27"/>
      <c r="V40" s="27"/>
      <c r="W40" s="45"/>
      <c r="X40" s="9"/>
      <c r="Y40" s="14" t="s">
        <v>401</v>
      </c>
      <c r="Z40" s="14">
        <v>5.03</v>
      </c>
    </row>
    <row r="41" spans="2:27" x14ac:dyDescent="0.3">
      <c r="B41" s="3"/>
      <c r="C41" s="167">
        <v>36</v>
      </c>
      <c r="D41" s="14" t="s">
        <v>4</v>
      </c>
      <c r="E41" s="14">
        <v>60</v>
      </c>
      <c r="F41" s="89" t="s">
        <v>346</v>
      </c>
      <c r="G41" s="89" t="s">
        <v>324</v>
      </c>
      <c r="H41" s="14" t="s">
        <v>366</v>
      </c>
      <c r="I41" s="14" t="s">
        <v>42</v>
      </c>
      <c r="J41" s="14" t="s">
        <v>43</v>
      </c>
      <c r="K41" s="14">
        <v>2007</v>
      </c>
      <c r="L41" s="14">
        <v>60003763</v>
      </c>
      <c r="M41" s="89">
        <v>185765</v>
      </c>
      <c r="N41" s="118" t="s">
        <v>430</v>
      </c>
      <c r="O41" s="118" t="s">
        <v>513</v>
      </c>
      <c r="P41" s="120">
        <v>180</v>
      </c>
      <c r="Q41" s="93" t="s">
        <v>468</v>
      </c>
      <c r="R41" s="94" t="s">
        <v>468</v>
      </c>
      <c r="S41" s="94" t="s">
        <v>538</v>
      </c>
      <c r="T41" s="14"/>
      <c r="U41" s="27"/>
      <c r="V41" s="27"/>
      <c r="W41" s="45"/>
      <c r="X41" s="9"/>
      <c r="Y41" s="14" t="s">
        <v>400</v>
      </c>
      <c r="Z41" s="14">
        <v>5.07</v>
      </c>
    </row>
    <row r="42" spans="2:27" x14ac:dyDescent="0.3">
      <c r="B42" s="3"/>
      <c r="C42" s="167">
        <v>37</v>
      </c>
      <c r="D42" s="14" t="s">
        <v>70</v>
      </c>
      <c r="E42" s="14">
        <v>80</v>
      </c>
      <c r="F42" s="14" t="s">
        <v>345</v>
      </c>
      <c r="G42" s="14" t="s">
        <v>322</v>
      </c>
      <c r="H42" s="14" t="s">
        <v>219</v>
      </c>
      <c r="I42" s="14" t="s">
        <v>42</v>
      </c>
      <c r="J42" s="14" t="s">
        <v>43</v>
      </c>
      <c r="K42" s="14">
        <v>2016</v>
      </c>
      <c r="L42" s="14">
        <v>60007001</v>
      </c>
      <c r="M42" s="14" t="s">
        <v>71</v>
      </c>
      <c r="N42" s="118" t="s">
        <v>430</v>
      </c>
      <c r="O42" s="118" t="s">
        <v>513</v>
      </c>
      <c r="P42" s="120">
        <v>240</v>
      </c>
      <c r="Q42" s="93" t="s">
        <v>488</v>
      </c>
      <c r="R42" s="88"/>
      <c r="S42" s="88"/>
      <c r="T42" s="22"/>
      <c r="U42" s="27"/>
      <c r="V42" s="27"/>
      <c r="W42" s="45"/>
      <c r="X42" s="9"/>
      <c r="Y42" s="14" t="s">
        <v>380</v>
      </c>
      <c r="Z42" s="14" t="s">
        <v>379</v>
      </c>
    </row>
    <row r="43" spans="2:27" x14ac:dyDescent="0.3">
      <c r="B43" s="3"/>
      <c r="C43" s="167">
        <v>38</v>
      </c>
      <c r="D43" s="14" t="s">
        <v>70</v>
      </c>
      <c r="E43" s="14">
        <v>80</v>
      </c>
      <c r="F43" s="14" t="s">
        <v>345</v>
      </c>
      <c r="G43" s="14" t="s">
        <v>323</v>
      </c>
      <c r="H43" s="14" t="s">
        <v>219</v>
      </c>
      <c r="I43" s="14" t="s">
        <v>42</v>
      </c>
      <c r="J43" s="14" t="s">
        <v>43</v>
      </c>
      <c r="K43" s="14">
        <v>2016</v>
      </c>
      <c r="L43" s="14">
        <v>60007002</v>
      </c>
      <c r="M43" s="14" t="s">
        <v>72</v>
      </c>
      <c r="N43" s="118" t="s">
        <v>430</v>
      </c>
      <c r="O43" s="118" t="s">
        <v>513</v>
      </c>
      <c r="P43" s="120">
        <v>240</v>
      </c>
      <c r="Q43" s="93" t="s">
        <v>488</v>
      </c>
      <c r="R43" s="88"/>
      <c r="S43" s="88"/>
      <c r="T43" s="14"/>
      <c r="U43" s="27"/>
      <c r="V43" s="27"/>
      <c r="W43" s="45"/>
      <c r="X43" s="9"/>
      <c r="Y43" s="14" t="s">
        <v>381</v>
      </c>
      <c r="Z43" s="14" t="s">
        <v>379</v>
      </c>
    </row>
    <row r="44" spans="2:27" x14ac:dyDescent="0.3">
      <c r="B44" s="3"/>
      <c r="C44" s="167">
        <v>39</v>
      </c>
      <c r="D44" s="14" t="s">
        <v>70</v>
      </c>
      <c r="E44" s="14">
        <v>80</v>
      </c>
      <c r="F44" s="14" t="s">
        <v>345</v>
      </c>
      <c r="G44" s="14" t="s">
        <v>324</v>
      </c>
      <c r="H44" s="14" t="s">
        <v>219</v>
      </c>
      <c r="I44" s="14" t="s">
        <v>42</v>
      </c>
      <c r="J44" s="14" t="s">
        <v>43</v>
      </c>
      <c r="K44" s="14">
        <v>2016</v>
      </c>
      <c r="L44" s="14">
        <v>60007003</v>
      </c>
      <c r="M44" s="14" t="s">
        <v>73</v>
      </c>
      <c r="N44" s="118" t="s">
        <v>430</v>
      </c>
      <c r="O44" s="118" t="s">
        <v>513</v>
      </c>
      <c r="P44" s="120">
        <v>240</v>
      </c>
      <c r="Q44" s="93" t="s">
        <v>488</v>
      </c>
      <c r="R44" s="88"/>
      <c r="S44" s="88"/>
      <c r="T44" s="14"/>
      <c r="U44" s="27"/>
      <c r="V44" s="27"/>
      <c r="W44" s="45"/>
      <c r="X44" s="9"/>
      <c r="Y44" s="14" t="s">
        <v>382</v>
      </c>
      <c r="Z44" s="14" t="s">
        <v>379</v>
      </c>
    </row>
    <row r="45" spans="2:27" x14ac:dyDescent="0.3">
      <c r="B45" s="3"/>
      <c r="C45" s="167">
        <v>40</v>
      </c>
      <c r="D45" s="14" t="s">
        <v>70</v>
      </c>
      <c r="E45" s="14">
        <v>80</v>
      </c>
      <c r="F45" s="14" t="s">
        <v>347</v>
      </c>
      <c r="G45" s="14" t="s">
        <v>322</v>
      </c>
      <c r="H45" s="14" t="s">
        <v>219</v>
      </c>
      <c r="I45" s="14" t="s">
        <v>42</v>
      </c>
      <c r="J45" s="14" t="s">
        <v>43</v>
      </c>
      <c r="K45" s="14">
        <v>2023</v>
      </c>
      <c r="L45" s="14">
        <v>60010334</v>
      </c>
      <c r="M45" s="14" t="s">
        <v>407</v>
      </c>
      <c r="N45" s="118" t="s">
        <v>430</v>
      </c>
      <c r="O45" s="118" t="s">
        <v>513</v>
      </c>
      <c r="P45" s="120">
        <v>240</v>
      </c>
      <c r="Q45" s="93" t="s">
        <v>506</v>
      </c>
      <c r="R45" s="88"/>
      <c r="S45" s="88"/>
      <c r="T45" s="14"/>
      <c r="U45" s="72"/>
      <c r="V45" s="72"/>
      <c r="W45" s="45"/>
      <c r="X45" s="9"/>
      <c r="Y45" s="14"/>
      <c r="Z45" s="14"/>
      <c r="AA45" s="79" t="s">
        <v>410</v>
      </c>
    </row>
    <row r="46" spans="2:27" x14ac:dyDescent="0.3">
      <c r="B46" s="3"/>
      <c r="C46" s="167">
        <v>41</v>
      </c>
      <c r="D46" s="14" t="s">
        <v>70</v>
      </c>
      <c r="E46" s="14">
        <v>80</v>
      </c>
      <c r="F46" s="14" t="s">
        <v>347</v>
      </c>
      <c r="G46" s="14" t="s">
        <v>323</v>
      </c>
      <c r="H46" s="14" t="s">
        <v>219</v>
      </c>
      <c r="I46" s="14" t="s">
        <v>42</v>
      </c>
      <c r="J46" s="14" t="s">
        <v>43</v>
      </c>
      <c r="K46" s="14">
        <v>2023</v>
      </c>
      <c r="L46" s="14">
        <v>60010335</v>
      </c>
      <c r="M46" s="14" t="s">
        <v>408</v>
      </c>
      <c r="N46" s="118" t="s">
        <v>430</v>
      </c>
      <c r="O46" s="118" t="s">
        <v>513</v>
      </c>
      <c r="P46" s="120">
        <v>240</v>
      </c>
      <c r="Q46" s="93" t="s">
        <v>506</v>
      </c>
      <c r="R46" s="88"/>
      <c r="S46" s="88"/>
      <c r="T46" s="14"/>
      <c r="U46" s="72"/>
      <c r="V46" s="72"/>
      <c r="W46" s="45"/>
      <c r="X46" s="9"/>
      <c r="Y46" s="14"/>
      <c r="Z46" s="14"/>
      <c r="AA46" s="79" t="s">
        <v>410</v>
      </c>
    </row>
    <row r="47" spans="2:27" x14ac:dyDescent="0.3">
      <c r="B47" s="3"/>
      <c r="C47" s="167">
        <v>42</v>
      </c>
      <c r="D47" s="14" t="s">
        <v>70</v>
      </c>
      <c r="E47" s="14">
        <v>80</v>
      </c>
      <c r="F47" s="14" t="s">
        <v>347</v>
      </c>
      <c r="G47" s="14" t="s">
        <v>324</v>
      </c>
      <c r="H47" s="14" t="s">
        <v>219</v>
      </c>
      <c r="I47" s="14" t="s">
        <v>42</v>
      </c>
      <c r="J47" s="14" t="s">
        <v>43</v>
      </c>
      <c r="K47" s="14">
        <v>2023</v>
      </c>
      <c r="L47" s="14">
        <v>60010336</v>
      </c>
      <c r="M47" s="14" t="s">
        <v>409</v>
      </c>
      <c r="N47" s="118" t="s">
        <v>430</v>
      </c>
      <c r="O47" s="118" t="s">
        <v>513</v>
      </c>
      <c r="P47" s="120">
        <v>240</v>
      </c>
      <c r="Q47" s="93" t="s">
        <v>506</v>
      </c>
      <c r="R47" s="88"/>
      <c r="S47" s="88"/>
      <c r="T47" s="14"/>
      <c r="U47" s="72"/>
      <c r="V47" s="72"/>
      <c r="W47" s="45"/>
      <c r="X47" s="9"/>
      <c r="Y47" s="14"/>
      <c r="Z47" s="14"/>
      <c r="AA47" s="79" t="s">
        <v>410</v>
      </c>
    </row>
    <row r="48" spans="2:27" x14ac:dyDescent="0.3">
      <c r="B48" s="2"/>
      <c r="C48" s="167">
        <v>43</v>
      </c>
      <c r="D48" s="14" t="s">
        <v>89</v>
      </c>
      <c r="E48" s="14">
        <v>80</v>
      </c>
      <c r="F48" s="14" t="s">
        <v>346</v>
      </c>
      <c r="G48" s="14" t="s">
        <v>322</v>
      </c>
      <c r="H48" s="14" t="s">
        <v>219</v>
      </c>
      <c r="I48" s="14" t="s">
        <v>90</v>
      </c>
      <c r="J48" s="14" t="s">
        <v>91</v>
      </c>
      <c r="K48" s="14">
        <v>2017</v>
      </c>
      <c r="L48" s="14">
        <v>60008049</v>
      </c>
      <c r="M48" s="14" t="s">
        <v>92</v>
      </c>
      <c r="N48" s="118" t="s">
        <v>430</v>
      </c>
      <c r="O48" s="118" t="s">
        <v>513</v>
      </c>
      <c r="P48" s="120">
        <v>240</v>
      </c>
      <c r="Q48" s="93" t="s">
        <v>497</v>
      </c>
      <c r="R48" s="88"/>
      <c r="S48" s="88"/>
      <c r="T48" s="44"/>
      <c r="U48" s="27"/>
      <c r="V48" s="27"/>
      <c r="W48" s="45"/>
      <c r="X48" s="9"/>
      <c r="Y48" s="14" t="s">
        <v>383</v>
      </c>
      <c r="Z48" s="14" t="s">
        <v>384</v>
      </c>
    </row>
    <row r="49" spans="2:30" x14ac:dyDescent="0.3">
      <c r="B49" s="2"/>
      <c r="C49" s="167">
        <v>44</v>
      </c>
      <c r="D49" s="14" t="s">
        <v>89</v>
      </c>
      <c r="E49" s="14">
        <v>80</v>
      </c>
      <c r="F49" s="14" t="s">
        <v>346</v>
      </c>
      <c r="G49" s="14" t="s">
        <v>323</v>
      </c>
      <c r="H49" s="14" t="s">
        <v>219</v>
      </c>
      <c r="I49" s="14" t="s">
        <v>90</v>
      </c>
      <c r="J49" s="14" t="s">
        <v>91</v>
      </c>
      <c r="K49" s="14">
        <v>2017</v>
      </c>
      <c r="L49" s="14">
        <v>60008050</v>
      </c>
      <c r="M49" s="14" t="s">
        <v>93</v>
      </c>
      <c r="N49" s="118" t="s">
        <v>430</v>
      </c>
      <c r="O49" s="118" t="s">
        <v>513</v>
      </c>
      <c r="P49" s="120">
        <v>240</v>
      </c>
      <c r="Q49" s="93" t="s">
        <v>497</v>
      </c>
      <c r="R49" s="88"/>
      <c r="S49" s="88"/>
      <c r="T49" s="14"/>
      <c r="U49" s="27"/>
      <c r="V49" s="27"/>
      <c r="W49" s="45"/>
      <c r="X49" s="9"/>
      <c r="Y49" s="14" t="s">
        <v>385</v>
      </c>
      <c r="Z49" s="14" t="s">
        <v>386</v>
      </c>
    </row>
    <row r="50" spans="2:30" x14ac:dyDescent="0.3">
      <c r="B50" s="2"/>
      <c r="C50" s="167">
        <v>45</v>
      </c>
      <c r="D50" s="14" t="s">
        <v>89</v>
      </c>
      <c r="E50" s="14">
        <v>80</v>
      </c>
      <c r="F50" s="14" t="s">
        <v>346</v>
      </c>
      <c r="G50" s="14" t="s">
        <v>324</v>
      </c>
      <c r="H50" s="14" t="s">
        <v>219</v>
      </c>
      <c r="I50" s="14" t="s">
        <v>90</v>
      </c>
      <c r="J50" s="14" t="s">
        <v>91</v>
      </c>
      <c r="K50" s="14">
        <v>2017</v>
      </c>
      <c r="L50" s="14">
        <v>60008051</v>
      </c>
      <c r="M50" s="14" t="s">
        <v>94</v>
      </c>
      <c r="N50" s="118" t="s">
        <v>430</v>
      </c>
      <c r="O50" s="118" t="s">
        <v>513</v>
      </c>
      <c r="P50" s="120">
        <v>240</v>
      </c>
      <c r="Q50" s="93" t="s">
        <v>497</v>
      </c>
      <c r="R50" s="88"/>
      <c r="S50" s="88"/>
      <c r="T50" s="14"/>
      <c r="U50" s="27"/>
      <c r="V50" s="27"/>
      <c r="W50" s="45"/>
      <c r="X50" s="9"/>
      <c r="Y50" s="14" t="s">
        <v>387</v>
      </c>
      <c r="Z50" s="14" t="s">
        <v>388</v>
      </c>
    </row>
    <row r="51" spans="2:30" x14ac:dyDescent="0.3">
      <c r="B51" s="3"/>
      <c r="C51" s="167">
        <v>46</v>
      </c>
      <c r="D51" s="14" t="s">
        <v>0</v>
      </c>
      <c r="E51" s="14">
        <v>40</v>
      </c>
      <c r="F51" s="14" t="s">
        <v>347</v>
      </c>
      <c r="G51" s="14" t="s">
        <v>322</v>
      </c>
      <c r="H51" s="14" t="s">
        <v>365</v>
      </c>
      <c r="I51" s="14" t="s">
        <v>49</v>
      </c>
      <c r="J51" s="14" t="s">
        <v>50</v>
      </c>
      <c r="K51" s="14">
        <v>1998</v>
      </c>
      <c r="L51" s="14">
        <v>60000001</v>
      </c>
      <c r="M51" s="14" t="s">
        <v>95</v>
      </c>
      <c r="N51" s="115" t="s">
        <v>431</v>
      </c>
      <c r="O51" s="115" t="s">
        <v>513</v>
      </c>
      <c r="P51" s="116">
        <v>120</v>
      </c>
      <c r="Q51" s="94" t="s">
        <v>469</v>
      </c>
      <c r="R51" s="94" t="s">
        <v>452</v>
      </c>
      <c r="S51" s="94" t="s">
        <v>540</v>
      </c>
      <c r="T51" s="22"/>
      <c r="U51" s="27"/>
      <c r="V51" s="27"/>
      <c r="W51" s="45"/>
      <c r="X51" s="9"/>
      <c r="Y51" s="14"/>
      <c r="Z51" s="14"/>
    </row>
    <row r="52" spans="2:30" x14ac:dyDescent="0.3">
      <c r="B52" s="3"/>
      <c r="C52" s="167">
        <v>47</v>
      </c>
      <c r="D52" s="14" t="s">
        <v>0</v>
      </c>
      <c r="E52" s="14">
        <v>40</v>
      </c>
      <c r="F52" s="14" t="s">
        <v>347</v>
      </c>
      <c r="G52" s="14" t="s">
        <v>323</v>
      </c>
      <c r="H52" s="14" t="s">
        <v>365</v>
      </c>
      <c r="I52" s="14" t="s">
        <v>49</v>
      </c>
      <c r="J52" s="14" t="s">
        <v>50</v>
      </c>
      <c r="K52" s="14">
        <v>1998</v>
      </c>
      <c r="L52" s="14">
        <v>60000003</v>
      </c>
      <c r="M52" s="14" t="s">
        <v>97</v>
      </c>
      <c r="N52" s="115" t="s">
        <v>431</v>
      </c>
      <c r="O52" s="115" t="s">
        <v>513</v>
      </c>
      <c r="P52" s="116">
        <v>120</v>
      </c>
      <c r="Q52" s="94" t="s">
        <v>469</v>
      </c>
      <c r="R52" s="94" t="s">
        <v>452</v>
      </c>
      <c r="S52" s="94" t="s">
        <v>540</v>
      </c>
      <c r="T52" s="14"/>
      <c r="U52" s="27"/>
      <c r="V52" s="27"/>
      <c r="W52" s="45"/>
      <c r="X52" s="9"/>
      <c r="Y52" s="14"/>
      <c r="Z52" s="14"/>
    </row>
    <row r="53" spans="2:30" x14ac:dyDescent="0.3">
      <c r="B53" s="3"/>
      <c r="C53" s="167">
        <v>48</v>
      </c>
      <c r="D53" s="14" t="s">
        <v>0</v>
      </c>
      <c r="E53" s="14">
        <v>40</v>
      </c>
      <c r="F53" s="14" t="s">
        <v>347</v>
      </c>
      <c r="G53" s="14" t="s">
        <v>324</v>
      </c>
      <c r="H53" s="14" t="s">
        <v>365</v>
      </c>
      <c r="I53" s="14" t="s">
        <v>49</v>
      </c>
      <c r="J53" s="14" t="s">
        <v>43</v>
      </c>
      <c r="K53" s="14">
        <v>2017</v>
      </c>
      <c r="L53" s="14">
        <v>60007944</v>
      </c>
      <c r="M53" s="14" t="s">
        <v>96</v>
      </c>
      <c r="N53" s="118" t="s">
        <v>430</v>
      </c>
      <c r="O53" s="118" t="s">
        <v>513</v>
      </c>
      <c r="P53" s="120">
        <v>120</v>
      </c>
      <c r="Q53" s="117" t="s">
        <v>433</v>
      </c>
      <c r="R53" s="94" t="s">
        <v>452</v>
      </c>
      <c r="S53" s="94" t="s">
        <v>540</v>
      </c>
      <c r="T53" s="14"/>
      <c r="U53" s="27"/>
      <c r="V53" s="27"/>
      <c r="W53" s="45"/>
      <c r="X53" s="128" t="s">
        <v>218</v>
      </c>
      <c r="Y53" s="14"/>
      <c r="Z53" s="14"/>
    </row>
    <row r="54" spans="2:30" x14ac:dyDescent="0.3">
      <c r="B54" s="3"/>
      <c r="C54" s="167">
        <v>49</v>
      </c>
      <c r="D54" s="14" t="s">
        <v>0</v>
      </c>
      <c r="E54" s="14">
        <v>40</v>
      </c>
      <c r="F54" s="14" t="s">
        <v>348</v>
      </c>
      <c r="G54" s="14" t="s">
        <v>322</v>
      </c>
      <c r="H54" s="14" t="s">
        <v>365</v>
      </c>
      <c r="I54" s="14" t="s">
        <v>42</v>
      </c>
      <c r="J54" s="14" t="s">
        <v>50</v>
      </c>
      <c r="K54" s="14">
        <v>1996</v>
      </c>
      <c r="L54" s="14">
        <v>50600001</v>
      </c>
      <c r="M54" s="14">
        <v>59571</v>
      </c>
      <c r="N54" s="115" t="s">
        <v>431</v>
      </c>
      <c r="O54" s="115" t="s">
        <v>513</v>
      </c>
      <c r="P54" s="116">
        <v>120</v>
      </c>
      <c r="Q54" s="94" t="s">
        <v>451</v>
      </c>
      <c r="R54" s="94" t="s">
        <v>451</v>
      </c>
      <c r="S54" s="94" t="s">
        <v>538</v>
      </c>
      <c r="T54" s="22"/>
      <c r="U54" s="27"/>
      <c r="V54" s="27"/>
      <c r="W54" s="45"/>
      <c r="X54" s="9"/>
      <c r="Y54" s="14" t="s">
        <v>396</v>
      </c>
      <c r="Z54" s="14" t="s">
        <v>395</v>
      </c>
    </row>
    <row r="55" spans="2:30" x14ac:dyDescent="0.3">
      <c r="B55" s="3"/>
      <c r="C55" s="167">
        <v>50</v>
      </c>
      <c r="D55" s="14" t="s">
        <v>0</v>
      </c>
      <c r="E55" s="14">
        <v>40</v>
      </c>
      <c r="F55" s="14" t="s">
        <v>348</v>
      </c>
      <c r="G55" s="14" t="s">
        <v>323</v>
      </c>
      <c r="H55" s="14" t="s">
        <v>365</v>
      </c>
      <c r="I55" s="14" t="s">
        <v>42</v>
      </c>
      <c r="J55" s="14" t="s">
        <v>50</v>
      </c>
      <c r="K55" s="14">
        <v>1996</v>
      </c>
      <c r="L55" s="14">
        <v>50600002</v>
      </c>
      <c r="M55" s="14">
        <v>59572</v>
      </c>
      <c r="N55" s="115" t="s">
        <v>431</v>
      </c>
      <c r="O55" s="115" t="s">
        <v>513</v>
      </c>
      <c r="P55" s="116">
        <v>120</v>
      </c>
      <c r="Q55" s="94" t="s">
        <v>451</v>
      </c>
      <c r="R55" s="94" t="s">
        <v>451</v>
      </c>
      <c r="S55" s="94" t="s">
        <v>538</v>
      </c>
      <c r="T55" s="14"/>
      <c r="U55" s="27"/>
      <c r="V55" s="27"/>
      <c r="W55" s="45"/>
      <c r="X55" s="9"/>
      <c r="Y55" s="14" t="s">
        <v>394</v>
      </c>
      <c r="Z55" s="14" t="s">
        <v>395</v>
      </c>
    </row>
    <row r="56" spans="2:30" x14ac:dyDescent="0.3">
      <c r="B56" s="3"/>
      <c r="C56" s="167">
        <v>51</v>
      </c>
      <c r="D56" s="14" t="s">
        <v>0</v>
      </c>
      <c r="E56" s="14">
        <v>40</v>
      </c>
      <c r="F56" s="14" t="s">
        <v>348</v>
      </c>
      <c r="G56" s="14" t="s">
        <v>324</v>
      </c>
      <c r="H56" s="14" t="s">
        <v>365</v>
      </c>
      <c r="I56" s="14" t="s">
        <v>42</v>
      </c>
      <c r="J56" s="14" t="s">
        <v>50</v>
      </c>
      <c r="K56" s="14">
        <v>1996</v>
      </c>
      <c r="L56" s="14">
        <v>50600003</v>
      </c>
      <c r="M56" s="14">
        <v>59573</v>
      </c>
      <c r="N56" s="115" t="s">
        <v>431</v>
      </c>
      <c r="O56" s="115" t="s">
        <v>513</v>
      </c>
      <c r="P56" s="116">
        <v>120</v>
      </c>
      <c r="Q56" s="94" t="s">
        <v>451</v>
      </c>
      <c r="R56" s="94" t="s">
        <v>451</v>
      </c>
      <c r="S56" s="94" t="s">
        <v>538</v>
      </c>
      <c r="T56" s="14"/>
      <c r="U56" s="27"/>
      <c r="V56" s="27"/>
      <c r="W56" s="45"/>
      <c r="X56" s="9"/>
      <c r="Y56" s="14" t="s">
        <v>394</v>
      </c>
      <c r="Z56" s="14" t="s">
        <v>395</v>
      </c>
    </row>
    <row r="57" spans="2:30" x14ac:dyDescent="0.3">
      <c r="B57" s="1"/>
      <c r="C57" s="47"/>
      <c r="D57" s="47"/>
      <c r="E57" s="66">
        <f>SUM(E6:E56)</f>
        <v>3135</v>
      </c>
      <c r="F57" s="47"/>
      <c r="G57" s="47"/>
      <c r="H57" s="47"/>
      <c r="I57" s="47"/>
      <c r="J57" s="47"/>
      <c r="K57" s="47"/>
      <c r="L57" s="47"/>
      <c r="Q57" s="69"/>
      <c r="R57" s="69"/>
      <c r="S57" s="69"/>
    </row>
    <row r="58" spans="2:30" x14ac:dyDescent="0.3">
      <c r="B58" s="1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T58" s="26"/>
    </row>
    <row r="59" spans="2:30" ht="20.25" x14ac:dyDescent="0.3">
      <c r="B59" s="1"/>
      <c r="C59" s="29" t="s">
        <v>282</v>
      </c>
      <c r="D59" s="47"/>
      <c r="E59" s="47"/>
      <c r="F59" s="47"/>
      <c r="G59" s="47"/>
      <c r="H59" s="26" t="s">
        <v>516</v>
      </c>
      <c r="I59" s="34" t="s">
        <v>314</v>
      </c>
      <c r="J59" s="47"/>
      <c r="K59" s="47"/>
      <c r="L59" s="47"/>
      <c r="M59" s="47"/>
      <c r="N59" s="47"/>
      <c r="O59" s="47"/>
      <c r="P59" s="47"/>
      <c r="T59" s="47"/>
    </row>
    <row r="60" spans="2:30" ht="4.5" customHeight="1" x14ac:dyDescent="0.3">
      <c r="B60" s="1"/>
      <c r="C60" s="33"/>
      <c r="D60" s="47"/>
      <c r="E60" s="47"/>
      <c r="F60" s="47"/>
      <c r="G60" s="47"/>
      <c r="H60" s="47"/>
      <c r="I60" s="36"/>
      <c r="J60" s="47"/>
      <c r="K60" s="47"/>
      <c r="L60" s="47"/>
      <c r="M60" s="47"/>
      <c r="N60" s="47"/>
      <c r="O60" s="47"/>
      <c r="P60" s="47"/>
      <c r="T60" s="47"/>
    </row>
    <row r="61" spans="2:30" ht="33" x14ac:dyDescent="0.3">
      <c r="B61" s="1"/>
      <c r="C61" s="64" t="s">
        <v>31</v>
      </c>
      <c r="D61" s="40" t="s">
        <v>32</v>
      </c>
      <c r="E61" s="40" t="s">
        <v>33</v>
      </c>
      <c r="F61" s="40" t="s">
        <v>34</v>
      </c>
      <c r="G61" s="41" t="s">
        <v>356</v>
      </c>
      <c r="H61" s="40" t="s">
        <v>35</v>
      </c>
      <c r="I61" s="65" t="s">
        <v>36</v>
      </c>
      <c r="J61" s="40" t="s">
        <v>37</v>
      </c>
      <c r="K61" s="65" t="s">
        <v>38</v>
      </c>
      <c r="L61" s="40" t="s">
        <v>276</v>
      </c>
      <c r="M61" s="60" t="s">
        <v>40</v>
      </c>
      <c r="N61" s="106" t="s">
        <v>517</v>
      </c>
      <c r="O61" s="106" t="s">
        <v>511</v>
      </c>
      <c r="P61" s="106" t="s">
        <v>512</v>
      </c>
      <c r="Q61" s="42" t="s">
        <v>543</v>
      </c>
      <c r="R61" s="42" t="s">
        <v>523</v>
      </c>
      <c r="S61" s="42" t="s">
        <v>321</v>
      </c>
      <c r="T61" s="40" t="s">
        <v>317</v>
      </c>
      <c r="U61" s="43" t="s">
        <v>341</v>
      </c>
      <c r="V61" s="42" t="s">
        <v>603</v>
      </c>
      <c r="W61" s="42" t="s">
        <v>354</v>
      </c>
      <c r="X61" s="8" t="s">
        <v>242</v>
      </c>
    </row>
    <row r="62" spans="2:30" x14ac:dyDescent="0.3">
      <c r="B62" s="1"/>
      <c r="C62" s="22">
        <v>1</v>
      </c>
      <c r="D62" s="14" t="s">
        <v>98</v>
      </c>
      <c r="E62" s="14">
        <v>25</v>
      </c>
      <c r="F62" s="14" t="s">
        <v>345</v>
      </c>
      <c r="G62" s="14"/>
      <c r="H62" s="14" t="s">
        <v>99</v>
      </c>
      <c r="I62" s="14" t="s">
        <v>100</v>
      </c>
      <c r="J62" s="14" t="s">
        <v>43</v>
      </c>
      <c r="K62" s="14">
        <v>2004</v>
      </c>
      <c r="L62" s="14">
        <v>60003402</v>
      </c>
      <c r="M62" s="14">
        <v>185519</v>
      </c>
      <c r="N62" s="115" t="s">
        <v>431</v>
      </c>
      <c r="O62" s="115" t="s">
        <v>513</v>
      </c>
      <c r="P62" s="116">
        <v>25</v>
      </c>
      <c r="Q62" s="94" t="s">
        <v>462</v>
      </c>
      <c r="R62" s="94" t="s">
        <v>462</v>
      </c>
      <c r="S62" s="94" t="s">
        <v>541</v>
      </c>
      <c r="T62" s="22"/>
      <c r="U62" s="27" t="s">
        <v>351</v>
      </c>
      <c r="V62" s="161" t="s">
        <v>574</v>
      </c>
      <c r="W62" s="45"/>
      <c r="X62" s="9"/>
      <c r="AD62" s="83" t="s">
        <v>352</v>
      </c>
    </row>
    <row r="63" spans="2:30" x14ac:dyDescent="0.3">
      <c r="B63" s="1"/>
      <c r="C63" s="22">
        <v>2</v>
      </c>
      <c r="D63" s="14" t="s">
        <v>98</v>
      </c>
      <c r="E63" s="14">
        <v>25</v>
      </c>
      <c r="F63" s="14" t="s">
        <v>346</v>
      </c>
      <c r="G63" s="14"/>
      <c r="H63" s="14" t="s">
        <v>99</v>
      </c>
      <c r="I63" s="14" t="s">
        <v>100</v>
      </c>
      <c r="J63" s="14" t="s">
        <v>43</v>
      </c>
      <c r="K63" s="14">
        <v>2014</v>
      </c>
      <c r="L63" s="14">
        <v>60006625</v>
      </c>
      <c r="M63" s="14">
        <v>100138</v>
      </c>
      <c r="N63" s="118" t="s">
        <v>430</v>
      </c>
      <c r="O63" s="119" t="s">
        <v>513</v>
      </c>
      <c r="P63" s="120">
        <v>25</v>
      </c>
      <c r="Q63" s="93" t="s">
        <v>487</v>
      </c>
      <c r="R63" s="88"/>
      <c r="S63" s="88"/>
      <c r="T63" s="22"/>
      <c r="U63" s="27"/>
      <c r="V63" s="27"/>
      <c r="W63" s="45"/>
      <c r="X63" s="9"/>
      <c r="AD63" s="83" t="s">
        <v>352</v>
      </c>
    </row>
    <row r="64" spans="2:30" x14ac:dyDescent="0.3">
      <c r="B64" s="4"/>
      <c r="C64" s="22">
        <v>3</v>
      </c>
      <c r="D64" s="14" t="s">
        <v>103</v>
      </c>
      <c r="E64" s="14">
        <v>50</v>
      </c>
      <c r="F64" s="22" t="s">
        <v>345</v>
      </c>
      <c r="G64" s="14"/>
      <c r="H64" s="14">
        <v>50</v>
      </c>
      <c r="I64" s="14" t="s">
        <v>104</v>
      </c>
      <c r="J64" s="14" t="s">
        <v>91</v>
      </c>
      <c r="K64" s="14">
        <v>2019</v>
      </c>
      <c r="L64" s="22">
        <v>60008522</v>
      </c>
      <c r="M64" s="22" t="s">
        <v>357</v>
      </c>
      <c r="N64" s="118" t="s">
        <v>430</v>
      </c>
      <c r="O64" s="119" t="s">
        <v>514</v>
      </c>
      <c r="P64" s="120">
        <v>50</v>
      </c>
      <c r="Q64" s="93" t="s">
        <v>500</v>
      </c>
      <c r="R64" s="88"/>
      <c r="S64" s="88"/>
      <c r="T64" s="22"/>
      <c r="U64" s="56" t="s">
        <v>599</v>
      </c>
      <c r="V64" s="163" t="s">
        <v>600</v>
      </c>
      <c r="W64" s="45"/>
      <c r="X64" s="9"/>
    </row>
    <row r="65" spans="1:28" x14ac:dyDescent="0.3">
      <c r="B65" s="1"/>
      <c r="C65" s="22">
        <v>4</v>
      </c>
      <c r="D65" s="14" t="s">
        <v>103</v>
      </c>
      <c r="E65" s="14">
        <v>50</v>
      </c>
      <c r="F65" s="22" t="s">
        <v>346</v>
      </c>
      <c r="G65" s="14"/>
      <c r="H65" s="14">
        <v>50</v>
      </c>
      <c r="I65" s="14" t="s">
        <v>104</v>
      </c>
      <c r="J65" s="14" t="s">
        <v>91</v>
      </c>
      <c r="K65" s="14">
        <v>2019</v>
      </c>
      <c r="L65" s="22">
        <v>60008523</v>
      </c>
      <c r="M65" s="22" t="s">
        <v>358</v>
      </c>
      <c r="N65" s="118" t="s">
        <v>430</v>
      </c>
      <c r="O65" s="119" t="s">
        <v>514</v>
      </c>
      <c r="P65" s="120">
        <v>50</v>
      </c>
      <c r="Q65" s="93" t="s">
        <v>501</v>
      </c>
      <c r="R65" s="88"/>
      <c r="S65" s="88"/>
      <c r="T65" s="22"/>
      <c r="U65" s="56" t="s">
        <v>599</v>
      </c>
      <c r="V65" s="163" t="s">
        <v>600</v>
      </c>
      <c r="W65" s="45"/>
      <c r="X65" s="9"/>
    </row>
    <row r="66" spans="1:28" x14ac:dyDescent="0.3">
      <c r="B66" s="1"/>
      <c r="C66" s="22">
        <v>5</v>
      </c>
      <c r="D66" s="14" t="s">
        <v>312</v>
      </c>
      <c r="E66" s="14">
        <v>50</v>
      </c>
      <c r="F66" s="22" t="s">
        <v>346</v>
      </c>
      <c r="G66" s="14"/>
      <c r="H66" s="14">
        <v>50</v>
      </c>
      <c r="I66" s="14" t="s">
        <v>303</v>
      </c>
      <c r="J66" s="14" t="s">
        <v>43</v>
      </c>
      <c r="K66" s="14">
        <v>2021</v>
      </c>
      <c r="L66" s="22">
        <v>60009423</v>
      </c>
      <c r="M66" s="22" t="s">
        <v>313</v>
      </c>
      <c r="N66" s="118" t="s">
        <v>430</v>
      </c>
      <c r="O66" s="119" t="s">
        <v>514</v>
      </c>
      <c r="P66" s="120">
        <v>50</v>
      </c>
      <c r="Q66" s="93" t="s">
        <v>505</v>
      </c>
      <c r="R66" s="88"/>
      <c r="S66" s="88"/>
      <c r="T66" s="22"/>
      <c r="U66" s="27" t="s">
        <v>350</v>
      </c>
      <c r="V66" s="163" t="s">
        <v>600</v>
      </c>
      <c r="W66" s="45"/>
      <c r="X66" s="9"/>
    </row>
    <row r="67" spans="1:28" x14ac:dyDescent="0.3">
      <c r="B67" s="1"/>
      <c r="C67" s="22">
        <v>6</v>
      </c>
      <c r="D67" s="14" t="s">
        <v>105</v>
      </c>
      <c r="E67" s="14">
        <v>50</v>
      </c>
      <c r="F67" s="22" t="s">
        <v>345</v>
      </c>
      <c r="G67" s="14"/>
      <c r="H67" s="14">
        <v>50</v>
      </c>
      <c r="I67" s="14" t="s">
        <v>303</v>
      </c>
      <c r="J67" s="14" t="s">
        <v>43</v>
      </c>
      <c r="K67" s="14">
        <v>2021</v>
      </c>
      <c r="L67" s="22">
        <v>60009078</v>
      </c>
      <c r="M67" s="22" t="s">
        <v>106</v>
      </c>
      <c r="N67" s="118" t="s">
        <v>430</v>
      </c>
      <c r="O67" s="119" t="s">
        <v>514</v>
      </c>
      <c r="P67" s="120">
        <v>50</v>
      </c>
      <c r="Q67" s="93" t="s">
        <v>504</v>
      </c>
      <c r="R67" s="88"/>
      <c r="S67" s="88"/>
      <c r="T67" s="22"/>
      <c r="U67" s="27" t="s">
        <v>350</v>
      </c>
      <c r="V67" s="163" t="s">
        <v>600</v>
      </c>
      <c r="W67" s="45"/>
      <c r="X67" s="9"/>
    </row>
    <row r="68" spans="1:28" x14ac:dyDescent="0.3">
      <c r="B68" s="1"/>
      <c r="C68" s="22">
        <v>7</v>
      </c>
      <c r="D68" s="14" t="s">
        <v>70</v>
      </c>
      <c r="E68" s="14">
        <v>50</v>
      </c>
      <c r="F68" s="22" t="s">
        <v>346</v>
      </c>
      <c r="G68" s="14"/>
      <c r="H68" s="14">
        <v>50</v>
      </c>
      <c r="I68" s="14" t="s">
        <v>303</v>
      </c>
      <c r="J68" s="14" t="s">
        <v>43</v>
      </c>
      <c r="K68" s="14">
        <v>2020</v>
      </c>
      <c r="L68" s="22">
        <v>60008969</v>
      </c>
      <c r="M68" s="22" t="s">
        <v>286</v>
      </c>
      <c r="N68" s="118" t="s">
        <v>430</v>
      </c>
      <c r="O68" s="119" t="s">
        <v>514</v>
      </c>
      <c r="P68" s="120">
        <v>50</v>
      </c>
      <c r="Q68" s="93" t="s">
        <v>503</v>
      </c>
      <c r="R68" s="88"/>
      <c r="S68" s="88"/>
      <c r="T68" s="51"/>
      <c r="U68" s="27" t="s">
        <v>350</v>
      </c>
      <c r="V68" s="163" t="s">
        <v>600</v>
      </c>
      <c r="W68" s="45"/>
      <c r="X68" s="9"/>
    </row>
    <row r="69" spans="1:28" x14ac:dyDescent="0.3">
      <c r="B69" s="1"/>
      <c r="C69" s="22">
        <v>8</v>
      </c>
      <c r="D69" s="14" t="s">
        <v>89</v>
      </c>
      <c r="E69" s="14">
        <v>50</v>
      </c>
      <c r="F69" s="22" t="s">
        <v>347</v>
      </c>
      <c r="G69" s="14"/>
      <c r="H69" s="14">
        <v>50</v>
      </c>
      <c r="I69" s="14" t="s">
        <v>101</v>
      </c>
      <c r="J69" s="14" t="s">
        <v>91</v>
      </c>
      <c r="K69" s="14">
        <v>2017</v>
      </c>
      <c r="L69" s="22">
        <v>60008052</v>
      </c>
      <c r="M69" s="22" t="s">
        <v>102</v>
      </c>
      <c r="N69" s="118" t="s">
        <v>430</v>
      </c>
      <c r="O69" s="119" t="s">
        <v>515</v>
      </c>
      <c r="P69" s="120">
        <v>50</v>
      </c>
      <c r="Q69" s="93" t="s">
        <v>498</v>
      </c>
      <c r="R69" s="88"/>
      <c r="S69" s="88"/>
      <c r="T69" s="44"/>
      <c r="U69" s="27"/>
      <c r="V69" s="27"/>
      <c r="W69" s="45"/>
      <c r="X69" s="9"/>
    </row>
    <row r="70" spans="1:28" x14ac:dyDescent="0.3">
      <c r="B70" s="1"/>
      <c r="C70" s="47"/>
      <c r="D70" s="47"/>
      <c r="E70" s="48">
        <f>SUM(E62:E69)</f>
        <v>350</v>
      </c>
      <c r="F70" s="47"/>
      <c r="G70" s="47"/>
      <c r="H70" s="47"/>
      <c r="I70" s="47"/>
      <c r="J70" s="47"/>
      <c r="K70" s="47"/>
      <c r="L70" s="47"/>
      <c r="M70" s="52"/>
      <c r="N70" s="52"/>
      <c r="O70" s="52"/>
      <c r="P70" s="52"/>
      <c r="T70" s="47"/>
    </row>
    <row r="71" spans="1:28" x14ac:dyDescent="0.3">
      <c r="B71" s="1"/>
      <c r="C71" s="53"/>
      <c r="D71" s="53"/>
      <c r="E71" s="54"/>
      <c r="F71" s="47"/>
      <c r="G71" s="47"/>
      <c r="H71" s="47"/>
      <c r="I71" s="47"/>
      <c r="J71" s="47"/>
      <c r="K71" s="47"/>
      <c r="L71" s="47"/>
      <c r="M71" s="52"/>
      <c r="N71" s="52"/>
      <c r="O71" s="52"/>
      <c r="P71" s="52"/>
      <c r="T71" s="47"/>
    </row>
    <row r="72" spans="1:28" ht="20.25" x14ac:dyDescent="0.3">
      <c r="B72" s="1"/>
      <c r="C72" s="29" t="s">
        <v>281</v>
      </c>
      <c r="D72" s="47"/>
      <c r="E72" s="47"/>
      <c r="F72" s="47"/>
      <c r="G72" s="47"/>
      <c r="H72" s="47" t="s">
        <v>611</v>
      </c>
      <c r="I72" s="34" t="s">
        <v>334</v>
      </c>
      <c r="J72" s="47"/>
      <c r="K72" s="47"/>
      <c r="L72" s="47"/>
      <c r="M72" s="52"/>
      <c r="N72" s="52"/>
      <c r="O72" s="52"/>
      <c r="P72" s="52"/>
      <c r="T72" s="47"/>
    </row>
    <row r="73" spans="1:28" ht="4.5" customHeight="1" x14ac:dyDescent="0.3">
      <c r="B73" s="1"/>
      <c r="C73" s="33"/>
      <c r="D73" s="47"/>
      <c r="E73" s="47"/>
      <c r="F73" s="47"/>
      <c r="G73" s="47"/>
      <c r="H73" s="47"/>
      <c r="I73" s="36"/>
      <c r="J73" s="47"/>
      <c r="K73" s="47"/>
      <c r="L73" s="47"/>
      <c r="M73" s="52"/>
      <c r="N73" s="52"/>
      <c r="O73" s="52"/>
      <c r="P73" s="52"/>
      <c r="T73" s="47"/>
    </row>
    <row r="74" spans="1:28" ht="33" x14ac:dyDescent="0.3">
      <c r="B74" s="1"/>
      <c r="C74" s="64" t="s">
        <v>31</v>
      </c>
      <c r="D74" s="40" t="s">
        <v>32</v>
      </c>
      <c r="E74" s="40" t="s">
        <v>33</v>
      </c>
      <c r="F74" s="40" t="s">
        <v>34</v>
      </c>
      <c r="G74" s="41" t="s">
        <v>356</v>
      </c>
      <c r="H74" s="40" t="s">
        <v>35</v>
      </c>
      <c r="I74" s="65" t="s">
        <v>36</v>
      </c>
      <c r="J74" s="40" t="s">
        <v>37</v>
      </c>
      <c r="K74" s="65" t="s">
        <v>38</v>
      </c>
      <c r="L74" s="40" t="s">
        <v>276</v>
      </c>
      <c r="M74" s="60" t="s">
        <v>40</v>
      </c>
      <c r="N74" s="106" t="s">
        <v>517</v>
      </c>
      <c r="O74" s="106" t="s">
        <v>511</v>
      </c>
      <c r="P74" s="106" t="s">
        <v>512</v>
      </c>
      <c r="Q74" s="42" t="s">
        <v>543</v>
      </c>
      <c r="R74" s="42" t="s">
        <v>551</v>
      </c>
      <c r="S74" s="42" t="s">
        <v>552</v>
      </c>
      <c r="T74" s="40" t="s">
        <v>317</v>
      </c>
      <c r="U74" s="43" t="s">
        <v>341</v>
      </c>
      <c r="V74" s="42" t="s">
        <v>603</v>
      </c>
      <c r="W74" s="42" t="s">
        <v>354</v>
      </c>
      <c r="X74" s="8" t="s">
        <v>242</v>
      </c>
      <c r="Z74" s="165" t="s">
        <v>614</v>
      </c>
      <c r="AA74" s="165" t="s">
        <v>403</v>
      </c>
      <c r="AB74" s="165" t="s">
        <v>615</v>
      </c>
    </row>
    <row r="75" spans="1:28" ht="16.5" customHeight="1" x14ac:dyDescent="0.3">
      <c r="B75" s="1"/>
      <c r="C75" s="22">
        <v>1</v>
      </c>
      <c r="D75" s="14" t="s">
        <v>41</v>
      </c>
      <c r="E75" s="14">
        <v>50</v>
      </c>
      <c r="F75" s="14" t="s">
        <v>342</v>
      </c>
      <c r="G75" s="14"/>
      <c r="H75" s="14">
        <v>50</v>
      </c>
      <c r="I75" s="14" t="s">
        <v>107</v>
      </c>
      <c r="J75" s="14" t="s">
        <v>43</v>
      </c>
      <c r="K75" s="14">
        <v>2017</v>
      </c>
      <c r="L75" s="14">
        <v>60007782</v>
      </c>
      <c r="M75" s="14" t="s">
        <v>108</v>
      </c>
      <c r="N75" s="118" t="s">
        <v>430</v>
      </c>
      <c r="O75" s="119" t="s">
        <v>329</v>
      </c>
      <c r="P75" s="120">
        <v>50</v>
      </c>
      <c r="Q75" s="93" t="s">
        <v>495</v>
      </c>
      <c r="R75" s="118"/>
      <c r="S75" s="118"/>
      <c r="T75" s="55"/>
      <c r="U75" s="27"/>
      <c r="V75" s="27"/>
      <c r="W75" s="45"/>
      <c r="X75" s="9"/>
      <c r="Y75" s="79" t="s">
        <v>612</v>
      </c>
      <c r="Z75" s="165">
        <v>60</v>
      </c>
      <c r="AA75" s="165">
        <v>22.9</v>
      </c>
      <c r="AB75" s="165"/>
    </row>
    <row r="76" spans="1:28" ht="16.5" customHeight="1" x14ac:dyDescent="0.3">
      <c r="B76" s="1"/>
      <c r="C76" s="22">
        <v>2</v>
      </c>
      <c r="D76" s="14" t="s">
        <v>2</v>
      </c>
      <c r="E76" s="14">
        <v>40</v>
      </c>
      <c r="F76" s="14" t="s">
        <v>342</v>
      </c>
      <c r="G76" s="14"/>
      <c r="H76" s="14" t="s">
        <v>109</v>
      </c>
      <c r="I76" s="14" t="s">
        <v>110</v>
      </c>
      <c r="J76" s="14" t="s">
        <v>50</v>
      </c>
      <c r="K76" s="14">
        <v>2008</v>
      </c>
      <c r="L76" s="14">
        <v>60003655</v>
      </c>
      <c r="M76" s="14" t="s">
        <v>111</v>
      </c>
      <c r="N76" s="118" t="s">
        <v>430</v>
      </c>
      <c r="O76" s="118" t="s">
        <v>328</v>
      </c>
      <c r="P76" s="120">
        <v>40</v>
      </c>
      <c r="Q76" s="93" t="s">
        <v>466</v>
      </c>
      <c r="R76" s="115" t="s">
        <v>466</v>
      </c>
      <c r="S76" s="115" t="s">
        <v>524</v>
      </c>
      <c r="T76" s="55"/>
      <c r="U76" s="27"/>
      <c r="V76" s="27"/>
      <c r="W76" s="70" t="s">
        <v>355</v>
      </c>
      <c r="X76" s="9"/>
      <c r="Y76" s="79" t="s">
        <v>613</v>
      </c>
      <c r="Z76" s="165">
        <v>60</v>
      </c>
      <c r="AA76" s="165">
        <v>22.9</v>
      </c>
      <c r="AB76" s="165">
        <v>10</v>
      </c>
    </row>
    <row r="77" spans="1:28" ht="16.5" customHeight="1" x14ac:dyDescent="0.3">
      <c r="A77" s="24"/>
      <c r="B77" s="1"/>
      <c r="C77" s="22">
        <v>3</v>
      </c>
      <c r="D77" s="14" t="s">
        <v>2</v>
      </c>
      <c r="E77" s="14">
        <v>50</v>
      </c>
      <c r="F77" s="14" t="s">
        <v>343</v>
      </c>
      <c r="G77" s="14"/>
      <c r="H77" s="14" t="s">
        <v>113</v>
      </c>
      <c r="I77" s="14" t="s">
        <v>118</v>
      </c>
      <c r="J77" s="14" t="s">
        <v>43</v>
      </c>
      <c r="K77" s="14">
        <v>2016</v>
      </c>
      <c r="L77" s="14">
        <v>60007201</v>
      </c>
      <c r="M77" s="14" t="s">
        <v>128</v>
      </c>
      <c r="N77" s="118" t="s">
        <v>430</v>
      </c>
      <c r="O77" s="119" t="s">
        <v>327</v>
      </c>
      <c r="P77" s="120">
        <v>50</v>
      </c>
      <c r="Q77" s="117" t="s">
        <v>490</v>
      </c>
      <c r="R77" s="115" t="s">
        <v>502</v>
      </c>
      <c r="S77" s="115" t="s">
        <v>524</v>
      </c>
      <c r="T77" s="55"/>
      <c r="U77" s="56" t="s">
        <v>350</v>
      </c>
      <c r="V77" s="161" t="s">
        <v>602</v>
      </c>
      <c r="W77" s="70" t="s">
        <v>355</v>
      </c>
      <c r="X77" s="9"/>
      <c r="Y77" s="79" t="s">
        <v>612</v>
      </c>
      <c r="Z77" s="165">
        <v>60</v>
      </c>
      <c r="AA77" s="165">
        <v>10</v>
      </c>
      <c r="AB77" s="165"/>
    </row>
    <row r="78" spans="1:28" ht="16.5" customHeight="1" x14ac:dyDescent="0.3">
      <c r="B78" s="1"/>
      <c r="C78" s="22">
        <v>4</v>
      </c>
      <c r="D78" s="14" t="s">
        <v>2</v>
      </c>
      <c r="E78" s="14">
        <v>50</v>
      </c>
      <c r="F78" s="14" t="s">
        <v>344</v>
      </c>
      <c r="G78" s="14"/>
      <c r="H78" s="14" t="s">
        <v>113</v>
      </c>
      <c r="I78" s="14" t="s">
        <v>112</v>
      </c>
      <c r="J78" s="14" t="s">
        <v>43</v>
      </c>
      <c r="K78" s="14">
        <v>2012</v>
      </c>
      <c r="L78" s="14">
        <v>60005445</v>
      </c>
      <c r="M78" s="14">
        <v>364072</v>
      </c>
      <c r="N78" s="118" t="s">
        <v>430</v>
      </c>
      <c r="O78" s="119" t="s">
        <v>327</v>
      </c>
      <c r="P78" s="120">
        <v>50</v>
      </c>
      <c r="Q78" s="93" t="s">
        <v>475</v>
      </c>
      <c r="R78" s="115" t="s">
        <v>475</v>
      </c>
      <c r="S78" s="115" t="s">
        <v>524</v>
      </c>
      <c r="T78" s="55"/>
      <c r="U78" s="162" t="s">
        <v>594</v>
      </c>
      <c r="V78" s="162"/>
      <c r="W78" s="70" t="s">
        <v>355</v>
      </c>
      <c r="X78" s="9"/>
      <c r="Y78" s="79" t="s">
        <v>612</v>
      </c>
      <c r="Z78" s="165"/>
      <c r="AA78" s="165"/>
      <c r="AB78" s="165"/>
    </row>
    <row r="79" spans="1:28" ht="16.5" customHeight="1" x14ac:dyDescent="0.3">
      <c r="B79" s="5"/>
      <c r="C79" s="22">
        <v>5</v>
      </c>
      <c r="D79" s="14" t="s">
        <v>5</v>
      </c>
      <c r="E79" s="14">
        <v>50</v>
      </c>
      <c r="F79" s="14" t="s">
        <v>342</v>
      </c>
      <c r="G79" s="14"/>
      <c r="H79" s="14">
        <v>50</v>
      </c>
      <c r="I79" s="14" t="s">
        <v>112</v>
      </c>
      <c r="J79" s="14" t="s">
        <v>119</v>
      </c>
      <c r="K79" s="14">
        <v>2022</v>
      </c>
      <c r="L79" s="25">
        <v>60009843</v>
      </c>
      <c r="M79" s="25" t="s">
        <v>337</v>
      </c>
      <c r="N79" s="118" t="s">
        <v>430</v>
      </c>
      <c r="O79" s="119" t="s">
        <v>327</v>
      </c>
      <c r="P79" s="120">
        <v>50</v>
      </c>
      <c r="Q79" s="93" t="s">
        <v>507</v>
      </c>
      <c r="R79" s="115" t="s">
        <v>507</v>
      </c>
      <c r="S79" s="115" t="s">
        <v>524</v>
      </c>
      <c r="T79" s="55"/>
      <c r="U79" s="56" t="s">
        <v>411</v>
      </c>
      <c r="V79" s="163" t="s">
        <v>600</v>
      </c>
      <c r="W79" s="45"/>
      <c r="X79" s="9"/>
      <c r="Z79" s="165"/>
      <c r="AA79" s="165"/>
      <c r="AB79" s="165"/>
    </row>
    <row r="80" spans="1:28" x14ac:dyDescent="0.3">
      <c r="B80" s="1"/>
      <c r="C80" s="22">
        <v>6</v>
      </c>
      <c r="D80" s="14" t="s">
        <v>5</v>
      </c>
      <c r="E80" s="14">
        <v>25</v>
      </c>
      <c r="F80" s="14" t="s">
        <v>343</v>
      </c>
      <c r="G80" s="14"/>
      <c r="H80" s="14" t="s">
        <v>116</v>
      </c>
      <c r="I80" s="14" t="s">
        <v>112</v>
      </c>
      <c r="J80" s="14" t="s">
        <v>289</v>
      </c>
      <c r="K80" s="14" t="s">
        <v>290</v>
      </c>
      <c r="L80" s="25">
        <v>500090</v>
      </c>
      <c r="M80" s="25" t="s">
        <v>117</v>
      </c>
      <c r="N80" s="115" t="s">
        <v>431</v>
      </c>
      <c r="O80" s="115" t="s">
        <v>327</v>
      </c>
      <c r="P80" s="116">
        <v>25</v>
      </c>
      <c r="Q80" s="114" t="s">
        <v>507</v>
      </c>
      <c r="R80" s="115" t="s">
        <v>445</v>
      </c>
      <c r="S80" s="115" t="s">
        <v>524</v>
      </c>
      <c r="T80" s="55"/>
      <c r="U80" s="27"/>
      <c r="V80" s="27"/>
      <c r="W80" s="45"/>
      <c r="X80" s="9"/>
      <c r="Z80" s="165"/>
      <c r="AA80" s="165"/>
      <c r="AB80" s="165"/>
    </row>
    <row r="81" spans="1:28" x14ac:dyDescent="0.3">
      <c r="B81" s="5"/>
      <c r="C81" s="22">
        <v>7</v>
      </c>
      <c r="D81" s="14" t="s">
        <v>5</v>
      </c>
      <c r="E81" s="14">
        <v>25</v>
      </c>
      <c r="F81" s="14" t="s">
        <v>344</v>
      </c>
      <c r="G81" s="14"/>
      <c r="H81" s="14" t="s">
        <v>116</v>
      </c>
      <c r="I81" s="70" t="s">
        <v>118</v>
      </c>
      <c r="J81" s="14" t="s">
        <v>325</v>
      </c>
      <c r="K81" s="14" t="s">
        <v>291</v>
      </c>
      <c r="L81" s="14">
        <v>50500506</v>
      </c>
      <c r="M81" s="14" t="s">
        <v>120</v>
      </c>
      <c r="N81" s="115" t="s">
        <v>431</v>
      </c>
      <c r="O81" s="115" t="s">
        <v>327</v>
      </c>
      <c r="P81" s="116">
        <v>25</v>
      </c>
      <c r="Q81" s="114" t="s">
        <v>546</v>
      </c>
      <c r="R81" s="115"/>
      <c r="S81" s="115"/>
      <c r="T81" s="55"/>
      <c r="U81" s="27"/>
      <c r="V81" s="27"/>
      <c r="W81" s="45"/>
      <c r="X81" s="9"/>
      <c r="Z81" s="165"/>
      <c r="AA81" s="165"/>
      <c r="AB81" s="165"/>
    </row>
    <row r="82" spans="1:28" x14ac:dyDescent="0.3">
      <c r="B82" s="1"/>
      <c r="C82" s="22">
        <v>8</v>
      </c>
      <c r="D82" s="14" t="s">
        <v>6</v>
      </c>
      <c r="E82" s="14">
        <v>25</v>
      </c>
      <c r="F82" s="14" t="s">
        <v>342</v>
      </c>
      <c r="G82" s="14"/>
      <c r="H82" s="14">
        <v>25</v>
      </c>
      <c r="I82" s="14" t="s">
        <v>118</v>
      </c>
      <c r="J82" s="14" t="s">
        <v>275</v>
      </c>
      <c r="K82" s="14" t="s">
        <v>308</v>
      </c>
      <c r="L82" s="25" t="s">
        <v>309</v>
      </c>
      <c r="M82" s="25" t="s">
        <v>250</v>
      </c>
      <c r="N82" s="115" t="s">
        <v>431</v>
      </c>
      <c r="O82" s="115" t="s">
        <v>327</v>
      </c>
      <c r="P82" s="116">
        <v>25</v>
      </c>
      <c r="Q82" s="114" t="s">
        <v>443</v>
      </c>
      <c r="R82" s="89"/>
      <c r="S82" s="89"/>
      <c r="T82" s="55"/>
      <c r="U82" s="27"/>
      <c r="V82" s="27"/>
      <c r="W82" s="45"/>
      <c r="X82" s="9"/>
      <c r="Z82" s="165"/>
      <c r="AA82" s="165"/>
      <c r="AB82" s="165"/>
    </row>
    <row r="83" spans="1:28" x14ac:dyDescent="0.3">
      <c r="B83" s="5"/>
      <c r="C83" s="22">
        <v>9</v>
      </c>
      <c r="D83" s="14" t="s">
        <v>6</v>
      </c>
      <c r="E83" s="14">
        <v>40</v>
      </c>
      <c r="F83" s="14" t="s">
        <v>343</v>
      </c>
      <c r="G83" s="14"/>
      <c r="H83" s="14" t="s">
        <v>123</v>
      </c>
      <c r="I83" s="14" t="s">
        <v>124</v>
      </c>
      <c r="J83" s="14" t="s">
        <v>326</v>
      </c>
      <c r="K83" s="14" t="s">
        <v>292</v>
      </c>
      <c r="L83" s="14">
        <v>60000103</v>
      </c>
      <c r="M83" s="14" t="s">
        <v>125</v>
      </c>
      <c r="N83" s="115" t="s">
        <v>431</v>
      </c>
      <c r="O83" s="115" t="s">
        <v>328</v>
      </c>
      <c r="P83" s="116">
        <v>40</v>
      </c>
      <c r="Q83" s="114" t="s">
        <v>519</v>
      </c>
      <c r="R83" s="115" t="s">
        <v>455</v>
      </c>
      <c r="S83" s="115" t="s">
        <v>526</v>
      </c>
      <c r="T83" s="55"/>
      <c r="U83" s="27"/>
      <c r="V83" s="27"/>
      <c r="W83" s="45"/>
      <c r="X83" s="9"/>
      <c r="Z83" s="165"/>
      <c r="AA83" s="165"/>
      <c r="AB83" s="165"/>
    </row>
    <row r="84" spans="1:28" ht="16.5" customHeight="1" x14ac:dyDescent="0.3">
      <c r="B84" s="1"/>
      <c r="C84" s="22">
        <v>10</v>
      </c>
      <c r="D84" s="14" t="s">
        <v>126</v>
      </c>
      <c r="E84" s="14">
        <v>50</v>
      </c>
      <c r="F84" s="14" t="s">
        <v>342</v>
      </c>
      <c r="G84" s="14"/>
      <c r="H84" s="14" t="s">
        <v>113</v>
      </c>
      <c r="I84" s="14" t="s">
        <v>112</v>
      </c>
      <c r="J84" s="14" t="s">
        <v>43</v>
      </c>
      <c r="K84" s="14">
        <v>2016</v>
      </c>
      <c r="L84" s="14">
        <v>60007200</v>
      </c>
      <c r="M84" s="14" t="s">
        <v>127</v>
      </c>
      <c r="N84" s="118" t="s">
        <v>430</v>
      </c>
      <c r="O84" s="119" t="s">
        <v>327</v>
      </c>
      <c r="P84" s="120">
        <v>50</v>
      </c>
      <c r="Q84" s="93" t="s">
        <v>489</v>
      </c>
      <c r="R84" s="118"/>
      <c r="S84" s="118"/>
      <c r="T84" s="55"/>
      <c r="U84" s="27"/>
      <c r="V84" s="27"/>
      <c r="W84" s="70" t="s">
        <v>355</v>
      </c>
      <c r="X84" s="9"/>
      <c r="Z84" s="165"/>
      <c r="AA84" s="165"/>
      <c r="AB84" s="165"/>
    </row>
    <row r="85" spans="1:28" ht="16.5" customHeight="1" x14ac:dyDescent="0.3">
      <c r="B85" s="1"/>
      <c r="C85" s="22">
        <v>11</v>
      </c>
      <c r="D85" s="14" t="s">
        <v>126</v>
      </c>
      <c r="E85" s="22">
        <v>50</v>
      </c>
      <c r="F85" s="14" t="s">
        <v>343</v>
      </c>
      <c r="G85" s="14"/>
      <c r="H85" s="14" t="s">
        <v>113</v>
      </c>
      <c r="I85" s="14" t="s">
        <v>112</v>
      </c>
      <c r="J85" s="14" t="s">
        <v>119</v>
      </c>
      <c r="K85" s="14">
        <v>2014</v>
      </c>
      <c r="L85" s="14">
        <v>60006086</v>
      </c>
      <c r="M85" s="14">
        <v>146916</v>
      </c>
      <c r="N85" s="118" t="s">
        <v>430</v>
      </c>
      <c r="O85" s="119" t="s">
        <v>327</v>
      </c>
      <c r="P85" s="120">
        <v>50</v>
      </c>
      <c r="Q85" s="117" t="s">
        <v>485</v>
      </c>
      <c r="R85" s="118"/>
      <c r="S85" s="118"/>
      <c r="T85" s="55"/>
      <c r="U85" s="56"/>
      <c r="V85" s="161" t="s">
        <v>602</v>
      </c>
      <c r="W85" s="70" t="s">
        <v>355</v>
      </c>
      <c r="X85" s="9"/>
      <c r="Z85" s="165"/>
      <c r="AA85" s="165"/>
      <c r="AB85" s="165"/>
    </row>
    <row r="86" spans="1:28" ht="16.5" customHeight="1" x14ac:dyDescent="0.3">
      <c r="B86" s="1"/>
      <c r="C86" s="22">
        <v>12</v>
      </c>
      <c r="D86" s="14" t="s">
        <v>126</v>
      </c>
      <c r="E86" s="14">
        <v>50</v>
      </c>
      <c r="F86" s="14" t="s">
        <v>344</v>
      </c>
      <c r="G86" s="14"/>
      <c r="H86" s="14" t="s">
        <v>113</v>
      </c>
      <c r="I86" s="14" t="s">
        <v>129</v>
      </c>
      <c r="J86" s="14" t="s">
        <v>43</v>
      </c>
      <c r="K86" s="14">
        <v>2016</v>
      </c>
      <c r="L86" s="14">
        <v>60007202</v>
      </c>
      <c r="M86" s="14" t="s">
        <v>130</v>
      </c>
      <c r="N86" s="118" t="s">
        <v>430</v>
      </c>
      <c r="O86" s="119" t="s">
        <v>329</v>
      </c>
      <c r="P86" s="120">
        <v>50</v>
      </c>
      <c r="Q86" s="93" t="s">
        <v>491</v>
      </c>
      <c r="R86" s="118"/>
      <c r="S86" s="118"/>
      <c r="T86" s="55"/>
      <c r="U86" s="27"/>
      <c r="V86" s="27"/>
      <c r="W86" s="70" t="s">
        <v>355</v>
      </c>
      <c r="X86" s="9"/>
      <c r="Z86" s="165"/>
      <c r="AA86" s="165"/>
      <c r="AB86" s="165"/>
    </row>
    <row r="87" spans="1:28" x14ac:dyDescent="0.3">
      <c r="B87" s="1"/>
      <c r="C87" s="22">
        <v>13</v>
      </c>
      <c r="D87" s="14" t="s">
        <v>3</v>
      </c>
      <c r="E87" s="14">
        <v>25</v>
      </c>
      <c r="F87" s="14" t="s">
        <v>342</v>
      </c>
      <c r="G87" s="14"/>
      <c r="H87" s="14" t="s">
        <v>131</v>
      </c>
      <c r="I87" s="14" t="s">
        <v>110</v>
      </c>
      <c r="J87" s="14" t="s">
        <v>43</v>
      </c>
      <c r="K87" s="14">
        <v>2003</v>
      </c>
      <c r="L87" s="25">
        <v>60002660</v>
      </c>
      <c r="M87" s="25">
        <v>185466</v>
      </c>
      <c r="N87" s="115" t="s">
        <v>431</v>
      </c>
      <c r="O87" s="115" t="s">
        <v>328</v>
      </c>
      <c r="P87" s="116">
        <v>25</v>
      </c>
      <c r="Q87" s="114" t="s">
        <v>493</v>
      </c>
      <c r="R87" s="89"/>
      <c r="S87" s="89"/>
      <c r="T87" s="55"/>
      <c r="U87" s="27"/>
      <c r="V87" s="27"/>
      <c r="W87" s="45"/>
      <c r="X87" s="9"/>
      <c r="Z87" s="165"/>
      <c r="AA87" s="165"/>
      <c r="AB87" s="165"/>
    </row>
    <row r="88" spans="1:28" ht="16.5" customHeight="1" x14ac:dyDescent="0.3">
      <c r="B88" s="1"/>
      <c r="C88" s="22">
        <v>14</v>
      </c>
      <c r="D88" s="14" t="s">
        <v>340</v>
      </c>
      <c r="E88" s="14">
        <v>50</v>
      </c>
      <c r="F88" s="14" t="s">
        <v>343</v>
      </c>
      <c r="G88" s="14"/>
      <c r="H88" s="14">
        <v>50</v>
      </c>
      <c r="I88" s="14" t="s">
        <v>129</v>
      </c>
      <c r="J88" s="14" t="s">
        <v>43</v>
      </c>
      <c r="K88" s="14">
        <v>2017</v>
      </c>
      <c r="L88" s="14">
        <v>60007835</v>
      </c>
      <c r="M88" s="14" t="s">
        <v>132</v>
      </c>
      <c r="N88" s="118" t="s">
        <v>430</v>
      </c>
      <c r="O88" s="119" t="s">
        <v>329</v>
      </c>
      <c r="P88" s="120">
        <v>50</v>
      </c>
      <c r="Q88" s="93" t="s">
        <v>496</v>
      </c>
      <c r="R88" s="118"/>
      <c r="S88" s="118"/>
      <c r="T88" s="44"/>
      <c r="U88" s="27"/>
      <c r="V88" s="27"/>
      <c r="W88" s="45"/>
      <c r="X88" s="9"/>
      <c r="Z88" s="165"/>
      <c r="AA88" s="165"/>
      <c r="AB88" s="165"/>
    </row>
    <row r="89" spans="1:28" ht="16.5" customHeight="1" x14ac:dyDescent="0.3">
      <c r="B89" s="1"/>
      <c r="C89" s="22">
        <v>15</v>
      </c>
      <c r="D89" s="14" t="s">
        <v>7</v>
      </c>
      <c r="E89" s="14">
        <v>50</v>
      </c>
      <c r="F89" s="14" t="s">
        <v>342</v>
      </c>
      <c r="G89" s="14"/>
      <c r="H89" s="14" t="s">
        <v>113</v>
      </c>
      <c r="I89" s="14" t="s">
        <v>112</v>
      </c>
      <c r="J89" s="14" t="s">
        <v>119</v>
      </c>
      <c r="K89" s="14">
        <v>2014</v>
      </c>
      <c r="L89" s="14">
        <v>60005878</v>
      </c>
      <c r="M89" s="14" t="s">
        <v>133</v>
      </c>
      <c r="N89" s="118" t="s">
        <v>430</v>
      </c>
      <c r="O89" s="119" t="s">
        <v>327</v>
      </c>
      <c r="P89" s="120">
        <v>50</v>
      </c>
      <c r="Q89" s="93" t="s">
        <v>483</v>
      </c>
      <c r="R89" s="115" t="s">
        <v>521</v>
      </c>
      <c r="S89" s="115" t="s">
        <v>524</v>
      </c>
      <c r="T89" s="22"/>
      <c r="U89" s="27"/>
      <c r="V89" s="27"/>
      <c r="W89" s="45"/>
      <c r="X89" s="9"/>
      <c r="Z89" s="165"/>
      <c r="AA89" s="165"/>
      <c r="AB89" s="165"/>
    </row>
    <row r="90" spans="1:28" ht="16.5" customHeight="1" x14ac:dyDescent="0.3">
      <c r="B90" s="1"/>
      <c r="C90" s="22">
        <v>16</v>
      </c>
      <c r="D90" s="14" t="s">
        <v>7</v>
      </c>
      <c r="E90" s="14">
        <v>40</v>
      </c>
      <c r="F90" s="14" t="s">
        <v>343</v>
      </c>
      <c r="G90" s="14"/>
      <c r="H90" s="14" t="s">
        <v>109</v>
      </c>
      <c r="I90" s="14" t="s">
        <v>110</v>
      </c>
      <c r="J90" s="14" t="s">
        <v>50</v>
      </c>
      <c r="K90" s="14">
        <v>2008</v>
      </c>
      <c r="L90" s="14">
        <v>60003637</v>
      </c>
      <c r="M90" s="14" t="s">
        <v>134</v>
      </c>
      <c r="N90" s="118" t="s">
        <v>430</v>
      </c>
      <c r="O90" s="118" t="s">
        <v>328</v>
      </c>
      <c r="P90" s="120">
        <v>40</v>
      </c>
      <c r="Q90" s="117" t="s">
        <v>473</v>
      </c>
      <c r="R90" s="115" t="s">
        <v>522</v>
      </c>
      <c r="S90" s="115" t="s">
        <v>537</v>
      </c>
      <c r="T90" s="22"/>
      <c r="U90" s="27"/>
      <c r="V90" s="27"/>
      <c r="W90" s="45"/>
      <c r="X90" s="9"/>
    </row>
    <row r="91" spans="1:28" x14ac:dyDescent="0.3">
      <c r="B91" s="1"/>
      <c r="C91" s="22">
        <v>17</v>
      </c>
      <c r="D91" s="14" t="s">
        <v>8</v>
      </c>
      <c r="E91" s="14">
        <v>17.2</v>
      </c>
      <c r="F91" s="14" t="s">
        <v>342</v>
      </c>
      <c r="G91" s="14"/>
      <c r="H91" s="14" t="s">
        <v>136</v>
      </c>
      <c r="I91" s="14" t="s">
        <v>137</v>
      </c>
      <c r="J91" s="14" t="s">
        <v>50</v>
      </c>
      <c r="K91" s="14">
        <v>1951</v>
      </c>
      <c r="L91" s="25" t="s">
        <v>138</v>
      </c>
      <c r="M91" s="14" t="s">
        <v>139</v>
      </c>
      <c r="N91" s="115" t="s">
        <v>431</v>
      </c>
      <c r="O91" s="115" t="s">
        <v>327</v>
      </c>
      <c r="P91" s="116">
        <v>17.2</v>
      </c>
      <c r="Q91" s="114" t="s">
        <v>544</v>
      </c>
      <c r="R91" s="115" t="s">
        <v>435</v>
      </c>
      <c r="S91" s="115" t="s">
        <v>524</v>
      </c>
      <c r="T91" s="163" t="s">
        <v>595</v>
      </c>
      <c r="U91" s="27"/>
      <c r="V91" s="27"/>
      <c r="W91" s="45"/>
      <c r="X91" s="9"/>
    </row>
    <row r="92" spans="1:28" x14ac:dyDescent="0.3">
      <c r="B92" s="1"/>
      <c r="C92" s="22">
        <v>18</v>
      </c>
      <c r="D92" s="14" t="s">
        <v>8</v>
      </c>
      <c r="E92" s="14">
        <v>17.2</v>
      </c>
      <c r="F92" s="14" t="s">
        <v>343</v>
      </c>
      <c r="G92" s="14"/>
      <c r="H92" s="14">
        <v>17.2</v>
      </c>
      <c r="I92" s="14" t="s">
        <v>121</v>
      </c>
      <c r="J92" s="14" t="s">
        <v>50</v>
      </c>
      <c r="K92" s="14">
        <v>1964</v>
      </c>
      <c r="L92" s="14" t="s">
        <v>122</v>
      </c>
      <c r="M92" s="14" t="s">
        <v>368</v>
      </c>
      <c r="N92" s="115" t="s">
        <v>431</v>
      </c>
      <c r="O92" s="115" t="s">
        <v>327</v>
      </c>
      <c r="P92" s="116">
        <v>17.2</v>
      </c>
      <c r="Q92" s="114" t="s">
        <v>442</v>
      </c>
      <c r="R92" s="89"/>
      <c r="S92" s="89"/>
      <c r="T92" s="163" t="s">
        <v>596</v>
      </c>
      <c r="U92" s="27"/>
      <c r="V92" s="27"/>
      <c r="W92" s="45"/>
      <c r="X92" s="9"/>
    </row>
    <row r="93" spans="1:28" ht="16.5" customHeight="1" x14ac:dyDescent="0.3">
      <c r="B93" s="1"/>
      <c r="C93" s="22">
        <v>19</v>
      </c>
      <c r="D93" s="14" t="s">
        <v>9</v>
      </c>
      <c r="E93" s="14">
        <v>50</v>
      </c>
      <c r="F93" s="14" t="s">
        <v>342</v>
      </c>
      <c r="G93" s="14"/>
      <c r="H93" s="14" t="s">
        <v>113</v>
      </c>
      <c r="I93" s="14" t="s">
        <v>112</v>
      </c>
      <c r="J93" s="14" t="s">
        <v>43</v>
      </c>
      <c r="K93" s="14">
        <v>2012</v>
      </c>
      <c r="L93" s="14">
        <v>60005317</v>
      </c>
      <c r="M93" s="14">
        <v>359111</v>
      </c>
      <c r="N93" s="118" t="s">
        <v>430</v>
      </c>
      <c r="O93" s="119" t="s">
        <v>327</v>
      </c>
      <c r="P93" s="120">
        <v>50</v>
      </c>
      <c r="Q93" s="93" t="s">
        <v>471</v>
      </c>
      <c r="R93" s="115" t="s">
        <v>471</v>
      </c>
      <c r="S93" s="115" t="s">
        <v>525</v>
      </c>
      <c r="T93" s="22"/>
      <c r="U93" s="27"/>
      <c r="V93" s="27"/>
      <c r="W93" s="70" t="s">
        <v>355</v>
      </c>
      <c r="X93" s="9"/>
    </row>
    <row r="94" spans="1:28" x14ac:dyDescent="0.3">
      <c r="B94" s="1"/>
      <c r="C94" s="22">
        <v>20</v>
      </c>
      <c r="D94" s="14" t="s">
        <v>9</v>
      </c>
      <c r="E94" s="22">
        <v>25</v>
      </c>
      <c r="F94" s="14" t="s">
        <v>343</v>
      </c>
      <c r="G94" s="14"/>
      <c r="H94" s="14" t="s">
        <v>116</v>
      </c>
      <c r="I94" s="14" t="s">
        <v>140</v>
      </c>
      <c r="J94" s="14" t="s">
        <v>360</v>
      </c>
      <c r="K94" s="14" t="s">
        <v>361</v>
      </c>
      <c r="L94" s="25">
        <v>500058</v>
      </c>
      <c r="M94" s="25" t="s">
        <v>202</v>
      </c>
      <c r="N94" s="115" t="s">
        <v>431</v>
      </c>
      <c r="O94" s="116" t="s">
        <v>327</v>
      </c>
      <c r="P94" s="116">
        <v>25</v>
      </c>
      <c r="Q94" s="114" t="s">
        <v>476</v>
      </c>
      <c r="R94" s="115" t="s">
        <v>419</v>
      </c>
      <c r="S94" s="115" t="s">
        <v>524</v>
      </c>
      <c r="T94" s="22"/>
      <c r="U94" s="27"/>
      <c r="V94" s="27"/>
      <c r="W94" s="70" t="s">
        <v>355</v>
      </c>
      <c r="X94" s="9"/>
    </row>
    <row r="95" spans="1:28" s="30" customFormat="1" x14ac:dyDescent="0.3">
      <c r="A95" s="28"/>
      <c r="B95" s="26"/>
      <c r="C95" s="22">
        <v>21</v>
      </c>
      <c r="D95" s="14" t="s">
        <v>9</v>
      </c>
      <c r="E95" s="22">
        <v>25</v>
      </c>
      <c r="F95" s="14" t="s">
        <v>344</v>
      </c>
      <c r="G95" s="14"/>
      <c r="H95" s="14">
        <v>25</v>
      </c>
      <c r="I95" s="14" t="s">
        <v>112</v>
      </c>
      <c r="J95" s="14" t="s">
        <v>287</v>
      </c>
      <c r="K95" s="14" t="s">
        <v>288</v>
      </c>
      <c r="L95" s="25" t="s">
        <v>114</v>
      </c>
      <c r="M95" s="25" t="s">
        <v>115</v>
      </c>
      <c r="N95" s="89" t="s">
        <v>563</v>
      </c>
      <c r="O95" s="89" t="s">
        <v>327</v>
      </c>
      <c r="P95" s="131">
        <v>25</v>
      </c>
      <c r="Q95" s="114" t="s">
        <v>518</v>
      </c>
      <c r="R95" s="89"/>
      <c r="S95" s="89"/>
      <c r="T95" s="27"/>
      <c r="U95" s="27"/>
      <c r="V95" s="27"/>
      <c r="W95" s="70" t="s">
        <v>355</v>
      </c>
      <c r="X95" s="9"/>
    </row>
    <row r="96" spans="1:28" ht="16.5" customHeight="1" x14ac:dyDescent="0.3">
      <c r="B96" s="1"/>
      <c r="C96" s="22">
        <v>22</v>
      </c>
      <c r="D96" s="14" t="s">
        <v>10</v>
      </c>
      <c r="E96" s="14">
        <v>50</v>
      </c>
      <c r="F96" s="14" t="s">
        <v>342</v>
      </c>
      <c r="G96" s="14"/>
      <c r="H96" s="14" t="s">
        <v>113</v>
      </c>
      <c r="I96" s="14" t="s">
        <v>112</v>
      </c>
      <c r="J96" s="14" t="s">
        <v>43</v>
      </c>
      <c r="K96" s="14">
        <v>2013</v>
      </c>
      <c r="L96" s="25">
        <v>60005527</v>
      </c>
      <c r="M96" s="14">
        <v>364074</v>
      </c>
      <c r="N96" s="118" t="s">
        <v>430</v>
      </c>
      <c r="O96" s="119" t="s">
        <v>327</v>
      </c>
      <c r="P96" s="120">
        <v>50</v>
      </c>
      <c r="Q96" s="93" t="s">
        <v>440</v>
      </c>
      <c r="R96" s="115" t="s">
        <v>440</v>
      </c>
      <c r="S96" s="115" t="s">
        <v>524</v>
      </c>
      <c r="T96" s="22"/>
      <c r="U96" s="27"/>
      <c r="V96" s="27"/>
      <c r="W96" s="45"/>
      <c r="X96" s="9"/>
    </row>
    <row r="97" spans="2:24" ht="16.5" customHeight="1" x14ac:dyDescent="0.3">
      <c r="B97" s="1"/>
      <c r="C97" s="22">
        <v>23</v>
      </c>
      <c r="D97" s="14" t="s">
        <v>10</v>
      </c>
      <c r="E97" s="14">
        <v>50</v>
      </c>
      <c r="F97" s="14" t="s">
        <v>343</v>
      </c>
      <c r="G97" s="14"/>
      <c r="H97" s="14">
        <v>50</v>
      </c>
      <c r="I97" s="14" t="s">
        <v>129</v>
      </c>
      <c r="J97" s="14" t="s">
        <v>119</v>
      </c>
      <c r="K97" s="14">
        <v>2014</v>
      </c>
      <c r="L97" s="14">
        <v>60006315</v>
      </c>
      <c r="M97" s="14">
        <v>146917</v>
      </c>
      <c r="N97" s="118" t="s">
        <v>430</v>
      </c>
      <c r="O97" s="118" t="s">
        <v>329</v>
      </c>
      <c r="P97" s="120">
        <v>50</v>
      </c>
      <c r="Q97" s="117" t="s">
        <v>416</v>
      </c>
      <c r="R97" s="118"/>
      <c r="S97" s="118"/>
      <c r="T97" s="22"/>
      <c r="U97" s="27" t="s">
        <v>351</v>
      </c>
      <c r="V97" s="162" t="s">
        <v>604</v>
      </c>
      <c r="W97" s="45"/>
      <c r="X97" s="128" t="s">
        <v>218</v>
      </c>
    </row>
    <row r="98" spans="2:24" x14ac:dyDescent="0.3">
      <c r="B98" s="1"/>
      <c r="C98" s="22">
        <v>24</v>
      </c>
      <c r="D98" s="14" t="s">
        <v>11</v>
      </c>
      <c r="E98" s="14">
        <v>25</v>
      </c>
      <c r="F98" s="14" t="s">
        <v>342</v>
      </c>
      <c r="G98" s="14"/>
      <c r="H98" s="14" t="s">
        <v>116</v>
      </c>
      <c r="I98" s="14" t="s">
        <v>112</v>
      </c>
      <c r="J98" s="14" t="s">
        <v>287</v>
      </c>
      <c r="K98" s="14" t="s">
        <v>310</v>
      </c>
      <c r="L98" s="25" t="s">
        <v>311</v>
      </c>
      <c r="M98" s="25" t="s">
        <v>248</v>
      </c>
      <c r="N98" s="115" t="s">
        <v>431</v>
      </c>
      <c r="O98" s="115" t="s">
        <v>327</v>
      </c>
      <c r="P98" s="116">
        <v>25</v>
      </c>
      <c r="Q98" s="114" t="s">
        <v>473</v>
      </c>
      <c r="R98" s="115" t="s">
        <v>441</v>
      </c>
      <c r="S98" s="115" t="s">
        <v>524</v>
      </c>
      <c r="T98" s="22"/>
      <c r="U98" s="27"/>
      <c r="V98" s="27"/>
      <c r="W98" s="45"/>
      <c r="X98" s="9"/>
    </row>
    <row r="99" spans="2:24" x14ac:dyDescent="0.3">
      <c r="B99" s="1"/>
      <c r="C99" s="22">
        <v>25</v>
      </c>
      <c r="D99" s="14" t="s">
        <v>11</v>
      </c>
      <c r="E99" s="14">
        <v>25</v>
      </c>
      <c r="F99" s="14" t="s">
        <v>343</v>
      </c>
      <c r="G99" s="14"/>
      <c r="H99" s="14">
        <v>25</v>
      </c>
      <c r="I99" s="14" t="s">
        <v>118</v>
      </c>
      <c r="J99" s="14" t="s">
        <v>325</v>
      </c>
      <c r="K99" s="14" t="s">
        <v>293</v>
      </c>
      <c r="L99" s="25" t="s">
        <v>147</v>
      </c>
      <c r="M99" s="25" t="s">
        <v>148</v>
      </c>
      <c r="N99" s="115" t="s">
        <v>431</v>
      </c>
      <c r="O99" s="115" t="s">
        <v>327</v>
      </c>
      <c r="P99" s="116">
        <v>25</v>
      </c>
      <c r="Q99" s="114" t="s">
        <v>475</v>
      </c>
      <c r="R99" s="115" t="s">
        <v>444</v>
      </c>
      <c r="S99" s="115" t="s">
        <v>527</v>
      </c>
      <c r="T99" s="22"/>
      <c r="U99" s="27"/>
      <c r="V99" s="27"/>
      <c r="W99" s="45"/>
      <c r="X99" s="9"/>
    </row>
    <row r="100" spans="2:24" x14ac:dyDescent="0.3">
      <c r="B100" s="1"/>
      <c r="C100" s="22">
        <v>26</v>
      </c>
      <c r="D100" s="14" t="s">
        <v>12</v>
      </c>
      <c r="E100" s="14">
        <v>40</v>
      </c>
      <c r="F100" s="14" t="s">
        <v>342</v>
      </c>
      <c r="G100" s="14"/>
      <c r="H100" s="14" t="s">
        <v>123</v>
      </c>
      <c r="I100" s="14" t="s">
        <v>110</v>
      </c>
      <c r="J100" s="14" t="s">
        <v>50</v>
      </c>
      <c r="K100" s="14">
        <v>1997</v>
      </c>
      <c r="L100" s="14">
        <v>60000012</v>
      </c>
      <c r="M100" s="14" t="s">
        <v>149</v>
      </c>
      <c r="N100" s="115" t="s">
        <v>431</v>
      </c>
      <c r="O100" s="115" t="s">
        <v>328</v>
      </c>
      <c r="P100" s="116">
        <v>40</v>
      </c>
      <c r="Q100" s="114" t="s">
        <v>482</v>
      </c>
      <c r="R100" s="115" t="s">
        <v>454</v>
      </c>
      <c r="S100" s="115" t="s">
        <v>529</v>
      </c>
      <c r="T100" s="22"/>
      <c r="U100" s="27"/>
      <c r="V100" s="27"/>
      <c r="W100" s="45"/>
      <c r="X100" s="9"/>
    </row>
    <row r="101" spans="2:24" x14ac:dyDescent="0.3">
      <c r="B101" s="1"/>
      <c r="C101" s="22">
        <v>27</v>
      </c>
      <c r="D101" s="14" t="s">
        <v>12</v>
      </c>
      <c r="E101" s="22">
        <v>25</v>
      </c>
      <c r="F101" s="14" t="s">
        <v>343</v>
      </c>
      <c r="G101" s="14"/>
      <c r="H101" s="14" t="s">
        <v>150</v>
      </c>
      <c r="I101" s="14" t="s">
        <v>110</v>
      </c>
      <c r="J101" s="14" t="s">
        <v>50</v>
      </c>
      <c r="K101" s="14">
        <v>1996</v>
      </c>
      <c r="L101" s="14">
        <v>50500514</v>
      </c>
      <c r="M101" s="14" t="s">
        <v>151</v>
      </c>
      <c r="N101" s="115" t="s">
        <v>431</v>
      </c>
      <c r="O101" s="115" t="s">
        <v>328</v>
      </c>
      <c r="P101" s="116">
        <v>25</v>
      </c>
      <c r="Q101" s="114" t="s">
        <v>450</v>
      </c>
      <c r="R101" s="89"/>
      <c r="S101" s="89"/>
      <c r="T101" s="22"/>
      <c r="U101" s="27"/>
      <c r="V101" s="27"/>
      <c r="W101" s="45"/>
      <c r="X101" s="9"/>
    </row>
    <row r="102" spans="2:24" x14ac:dyDescent="0.3">
      <c r="B102" s="1"/>
      <c r="C102" s="22">
        <v>28</v>
      </c>
      <c r="D102" s="14" t="s">
        <v>12</v>
      </c>
      <c r="E102" s="14">
        <v>25</v>
      </c>
      <c r="F102" s="14" t="s">
        <v>344</v>
      </c>
      <c r="G102" s="14"/>
      <c r="H102" s="14" t="s">
        <v>152</v>
      </c>
      <c r="I102" s="14" t="s">
        <v>110</v>
      </c>
      <c r="J102" s="14" t="s">
        <v>50</v>
      </c>
      <c r="K102" s="14">
        <v>2000</v>
      </c>
      <c r="L102" s="14">
        <v>60001494</v>
      </c>
      <c r="M102" s="14" t="s">
        <v>153</v>
      </c>
      <c r="N102" s="115" t="s">
        <v>431</v>
      </c>
      <c r="O102" s="115" t="s">
        <v>328</v>
      </c>
      <c r="P102" s="116">
        <v>25</v>
      </c>
      <c r="Q102" s="114" t="s">
        <v>464</v>
      </c>
      <c r="R102" s="89"/>
      <c r="S102" s="89"/>
      <c r="T102" s="22"/>
      <c r="U102" s="162" t="s">
        <v>594</v>
      </c>
      <c r="V102" s="162"/>
      <c r="W102" s="45"/>
      <c r="X102" s="9"/>
    </row>
    <row r="103" spans="2:24" ht="16.5" customHeight="1" x14ac:dyDescent="0.3">
      <c r="B103" s="1"/>
      <c r="C103" s="22">
        <v>29</v>
      </c>
      <c r="D103" s="14" t="s">
        <v>13</v>
      </c>
      <c r="E103" s="14">
        <v>50</v>
      </c>
      <c r="F103" s="14" t="s">
        <v>342</v>
      </c>
      <c r="G103" s="14"/>
      <c r="H103" s="14" t="s">
        <v>113</v>
      </c>
      <c r="I103" s="14" t="s">
        <v>112</v>
      </c>
      <c r="J103" s="14" t="s">
        <v>119</v>
      </c>
      <c r="K103" s="14">
        <v>2014</v>
      </c>
      <c r="L103" s="14">
        <v>60005805</v>
      </c>
      <c r="M103" s="14" t="s">
        <v>154</v>
      </c>
      <c r="N103" s="118" t="s">
        <v>430</v>
      </c>
      <c r="O103" s="119" t="s">
        <v>327</v>
      </c>
      <c r="P103" s="120">
        <v>50</v>
      </c>
      <c r="Q103" s="93" t="s">
        <v>481</v>
      </c>
      <c r="R103" s="115" t="s">
        <v>481</v>
      </c>
      <c r="S103" s="115" t="s">
        <v>524</v>
      </c>
      <c r="T103" s="22"/>
      <c r="U103" s="27"/>
      <c r="V103" s="27"/>
      <c r="W103" s="70" t="s">
        <v>355</v>
      </c>
      <c r="X103" s="9"/>
    </row>
    <row r="104" spans="2:24" ht="16.5" customHeight="1" x14ac:dyDescent="0.3">
      <c r="B104" s="1"/>
      <c r="C104" s="22">
        <v>30</v>
      </c>
      <c r="D104" s="14" t="s">
        <v>13</v>
      </c>
      <c r="E104" s="22">
        <v>40</v>
      </c>
      <c r="F104" s="14" t="s">
        <v>343</v>
      </c>
      <c r="G104" s="14"/>
      <c r="H104" s="14" t="s">
        <v>109</v>
      </c>
      <c r="I104" s="14" t="s">
        <v>110</v>
      </c>
      <c r="J104" s="14" t="s">
        <v>50</v>
      </c>
      <c r="K104" s="14">
        <v>2008</v>
      </c>
      <c r="L104" s="14">
        <v>60003656</v>
      </c>
      <c r="M104" s="14" t="s">
        <v>155</v>
      </c>
      <c r="N104" s="118" t="s">
        <v>430</v>
      </c>
      <c r="O104" s="118" t="s">
        <v>328</v>
      </c>
      <c r="P104" s="120">
        <v>40</v>
      </c>
      <c r="Q104" s="93" t="s">
        <v>467</v>
      </c>
      <c r="R104" s="115" t="s">
        <v>467</v>
      </c>
      <c r="S104" s="115" t="s">
        <v>526</v>
      </c>
      <c r="T104" s="22"/>
      <c r="U104" s="27"/>
      <c r="V104" s="27"/>
      <c r="W104" s="70" t="s">
        <v>355</v>
      </c>
      <c r="X104" s="9"/>
    </row>
    <row r="105" spans="2:24" ht="16.5" customHeight="1" x14ac:dyDescent="0.3">
      <c r="B105" s="1"/>
      <c r="C105" s="22">
        <v>31</v>
      </c>
      <c r="D105" s="14" t="s">
        <v>13</v>
      </c>
      <c r="E105" s="14">
        <v>50</v>
      </c>
      <c r="F105" s="14" t="s">
        <v>344</v>
      </c>
      <c r="G105" s="14"/>
      <c r="H105" s="14" t="s">
        <v>113</v>
      </c>
      <c r="I105" s="14" t="s">
        <v>112</v>
      </c>
      <c r="J105" s="14" t="s">
        <v>43</v>
      </c>
      <c r="K105" s="14">
        <v>2012</v>
      </c>
      <c r="L105" s="14">
        <v>60005501</v>
      </c>
      <c r="M105" s="14">
        <v>364075</v>
      </c>
      <c r="N105" s="118" t="s">
        <v>430</v>
      </c>
      <c r="O105" s="119" t="s">
        <v>327</v>
      </c>
      <c r="P105" s="120">
        <v>50</v>
      </c>
      <c r="Q105" s="93" t="s">
        <v>476</v>
      </c>
      <c r="R105" s="115" t="s">
        <v>476</v>
      </c>
      <c r="S105" s="114" t="s">
        <v>524</v>
      </c>
      <c r="T105" s="22"/>
      <c r="U105" s="27"/>
      <c r="V105" s="27"/>
      <c r="W105" s="70" t="s">
        <v>355</v>
      </c>
      <c r="X105" s="9"/>
    </row>
    <row r="106" spans="2:24" x14ac:dyDescent="0.3">
      <c r="B106" s="1"/>
      <c r="C106" s="22">
        <v>32</v>
      </c>
      <c r="D106" s="14" t="s">
        <v>266</v>
      </c>
      <c r="E106" s="14">
        <v>40</v>
      </c>
      <c r="F106" s="14" t="s">
        <v>342</v>
      </c>
      <c r="G106" s="14"/>
      <c r="H106" s="14" t="s">
        <v>156</v>
      </c>
      <c r="I106" s="14" t="s">
        <v>112</v>
      </c>
      <c r="J106" s="14" t="s">
        <v>50</v>
      </c>
      <c r="K106" s="14">
        <v>1998</v>
      </c>
      <c r="L106" s="14">
        <v>60000007</v>
      </c>
      <c r="M106" s="14" t="s">
        <v>157</v>
      </c>
      <c r="N106" s="115" t="s">
        <v>431</v>
      </c>
      <c r="O106" s="115" t="s">
        <v>327</v>
      </c>
      <c r="P106" s="116">
        <v>40</v>
      </c>
      <c r="Q106" s="114" t="s">
        <v>470</v>
      </c>
      <c r="R106" s="115" t="s">
        <v>453</v>
      </c>
      <c r="S106" s="115" t="s">
        <v>525</v>
      </c>
      <c r="T106" s="22"/>
      <c r="U106" s="27"/>
      <c r="V106" s="27"/>
      <c r="W106" s="45"/>
      <c r="X106" s="9"/>
    </row>
    <row r="107" spans="2:24" ht="16.5" customHeight="1" x14ac:dyDescent="0.3">
      <c r="B107" s="1"/>
      <c r="C107" s="22">
        <v>33</v>
      </c>
      <c r="D107" s="14" t="s">
        <v>266</v>
      </c>
      <c r="E107" s="14">
        <v>50</v>
      </c>
      <c r="F107" s="14" t="s">
        <v>343</v>
      </c>
      <c r="G107" s="14"/>
      <c r="H107" s="14" t="s">
        <v>113</v>
      </c>
      <c r="I107" s="14" t="s">
        <v>129</v>
      </c>
      <c r="J107" s="14" t="s">
        <v>119</v>
      </c>
      <c r="K107" s="14">
        <v>2014</v>
      </c>
      <c r="L107" s="14">
        <v>60005890</v>
      </c>
      <c r="M107" s="14" t="s">
        <v>158</v>
      </c>
      <c r="N107" s="118" t="s">
        <v>430</v>
      </c>
      <c r="O107" s="119" t="s">
        <v>329</v>
      </c>
      <c r="P107" s="120">
        <v>50</v>
      </c>
      <c r="Q107" s="93" t="s">
        <v>484</v>
      </c>
      <c r="R107" s="118"/>
      <c r="S107" s="118"/>
      <c r="T107" s="22"/>
      <c r="U107" s="27"/>
      <c r="V107" s="27"/>
      <c r="W107" s="45"/>
      <c r="X107" s="9"/>
    </row>
    <row r="108" spans="2:24" ht="16.5" customHeight="1" x14ac:dyDescent="0.3">
      <c r="B108" s="1"/>
      <c r="C108" s="22">
        <v>34</v>
      </c>
      <c r="D108" s="14" t="s">
        <v>215</v>
      </c>
      <c r="E108" s="14">
        <v>40</v>
      </c>
      <c r="F108" s="14" t="s">
        <v>342</v>
      </c>
      <c r="G108" s="14"/>
      <c r="H108" s="14" t="s">
        <v>109</v>
      </c>
      <c r="I108" s="14" t="s">
        <v>110</v>
      </c>
      <c r="J108" s="14" t="s">
        <v>50</v>
      </c>
      <c r="K108" s="14">
        <v>2007</v>
      </c>
      <c r="L108" s="14">
        <v>60003469</v>
      </c>
      <c r="M108" s="14" t="s">
        <v>159</v>
      </c>
      <c r="N108" s="118" t="s">
        <v>430</v>
      </c>
      <c r="O108" s="118" t="s">
        <v>328</v>
      </c>
      <c r="P108" s="120">
        <v>40</v>
      </c>
      <c r="Q108" s="117" t="s">
        <v>477</v>
      </c>
      <c r="R108" s="118"/>
      <c r="S108" s="118"/>
      <c r="T108" s="22"/>
      <c r="U108" s="27"/>
      <c r="V108" s="27"/>
      <c r="W108" s="45"/>
      <c r="X108" s="9"/>
    </row>
    <row r="109" spans="2:24" ht="16.5" customHeight="1" x14ac:dyDescent="0.3">
      <c r="B109" s="1"/>
      <c r="C109" s="22">
        <v>35</v>
      </c>
      <c r="D109" s="14" t="s">
        <v>215</v>
      </c>
      <c r="E109" s="14">
        <v>50</v>
      </c>
      <c r="F109" s="14" t="s">
        <v>343</v>
      </c>
      <c r="G109" s="14"/>
      <c r="H109" s="14">
        <v>50</v>
      </c>
      <c r="I109" s="14" t="s">
        <v>129</v>
      </c>
      <c r="J109" s="14" t="s">
        <v>43</v>
      </c>
      <c r="K109" s="14">
        <v>2017</v>
      </c>
      <c r="L109" s="14">
        <v>60007457</v>
      </c>
      <c r="M109" s="14" t="s">
        <v>160</v>
      </c>
      <c r="N109" s="118" t="s">
        <v>430</v>
      </c>
      <c r="O109" s="119" t="s">
        <v>329</v>
      </c>
      <c r="P109" s="120">
        <v>50</v>
      </c>
      <c r="Q109" s="93" t="s">
        <v>493</v>
      </c>
      <c r="R109" s="115" t="s">
        <v>493</v>
      </c>
      <c r="S109" s="114" t="s">
        <v>526</v>
      </c>
      <c r="T109" s="22"/>
      <c r="U109" s="27"/>
      <c r="V109" s="27"/>
      <c r="W109" s="45"/>
      <c r="X109" s="9"/>
    </row>
    <row r="110" spans="2:24" x14ac:dyDescent="0.3">
      <c r="B110" s="5"/>
      <c r="C110" s="22">
        <v>36</v>
      </c>
      <c r="D110" s="14" t="s">
        <v>47</v>
      </c>
      <c r="E110" s="14">
        <v>25</v>
      </c>
      <c r="F110" s="14" t="s">
        <v>342</v>
      </c>
      <c r="G110" s="14"/>
      <c r="H110" s="14">
        <v>25</v>
      </c>
      <c r="I110" s="14" t="s">
        <v>118</v>
      </c>
      <c r="J110" s="14" t="s">
        <v>50</v>
      </c>
      <c r="K110" s="14" t="s">
        <v>294</v>
      </c>
      <c r="L110" s="25" t="s">
        <v>161</v>
      </c>
      <c r="M110" s="25" t="s">
        <v>162</v>
      </c>
      <c r="N110" s="115" t="s">
        <v>431</v>
      </c>
      <c r="O110" s="115" t="s">
        <v>327</v>
      </c>
      <c r="P110" s="116">
        <v>25</v>
      </c>
      <c r="Q110" s="114" t="s">
        <v>550</v>
      </c>
      <c r="R110" s="89"/>
      <c r="S110" s="89"/>
      <c r="T110" s="44"/>
      <c r="U110" s="27"/>
      <c r="V110" s="27"/>
      <c r="W110" s="45"/>
      <c r="X110" s="9"/>
    </row>
    <row r="111" spans="2:24" x14ac:dyDescent="0.3">
      <c r="B111" s="5"/>
      <c r="C111" s="22">
        <v>37</v>
      </c>
      <c r="D111" s="14" t="s">
        <v>47</v>
      </c>
      <c r="E111" s="14">
        <v>25</v>
      </c>
      <c r="F111" s="14" t="s">
        <v>343</v>
      </c>
      <c r="G111" s="14"/>
      <c r="H111" s="14" t="s">
        <v>163</v>
      </c>
      <c r="I111" s="14" t="s">
        <v>124</v>
      </c>
      <c r="J111" s="14" t="s">
        <v>119</v>
      </c>
      <c r="K111" s="14">
        <v>1998</v>
      </c>
      <c r="L111" s="14">
        <v>60000204</v>
      </c>
      <c r="M111" s="14" t="s">
        <v>164</v>
      </c>
      <c r="N111" s="115" t="s">
        <v>431</v>
      </c>
      <c r="O111" s="115" t="s">
        <v>328</v>
      </c>
      <c r="P111" s="116">
        <v>25</v>
      </c>
      <c r="Q111" s="94" t="s">
        <v>461</v>
      </c>
      <c r="R111" s="89"/>
      <c r="S111" s="89"/>
      <c r="T111" s="44"/>
      <c r="U111" s="27"/>
      <c r="V111" s="27"/>
      <c r="W111" s="45"/>
      <c r="X111" s="9"/>
    </row>
    <row r="112" spans="2:24" ht="16.5" customHeight="1" x14ac:dyDescent="0.3">
      <c r="B112" s="1"/>
      <c r="C112" s="22">
        <v>38</v>
      </c>
      <c r="D112" s="14" t="s">
        <v>14</v>
      </c>
      <c r="E112" s="14">
        <v>50</v>
      </c>
      <c r="F112" s="14" t="s">
        <v>342</v>
      </c>
      <c r="G112" s="14"/>
      <c r="H112" s="14" t="s">
        <v>113</v>
      </c>
      <c r="I112" s="14" t="s">
        <v>129</v>
      </c>
      <c r="J112" s="14" t="s">
        <v>119</v>
      </c>
      <c r="K112" s="14">
        <v>2014</v>
      </c>
      <c r="L112" s="14">
        <v>60005809</v>
      </c>
      <c r="M112" s="14" t="s">
        <v>165</v>
      </c>
      <c r="N112" s="118" t="s">
        <v>430</v>
      </c>
      <c r="O112" s="119" t="s">
        <v>329</v>
      </c>
      <c r="P112" s="120">
        <v>50</v>
      </c>
      <c r="Q112" s="93" t="s">
        <v>482</v>
      </c>
      <c r="R112" s="115" t="s">
        <v>482</v>
      </c>
      <c r="S112" s="115" t="s">
        <v>528</v>
      </c>
      <c r="T112" s="22"/>
      <c r="U112" s="27"/>
      <c r="V112" s="27"/>
      <c r="W112" s="45"/>
      <c r="X112" s="9"/>
    </row>
    <row r="113" spans="1:28" s="84" customFormat="1" x14ac:dyDescent="0.3">
      <c r="A113" s="24"/>
      <c r="B113" s="1"/>
      <c r="C113" s="22">
        <v>39</v>
      </c>
      <c r="D113" s="14" t="s">
        <v>14</v>
      </c>
      <c r="E113" s="14">
        <v>25</v>
      </c>
      <c r="F113" s="14" t="s">
        <v>343</v>
      </c>
      <c r="G113" s="14"/>
      <c r="H113" s="14">
        <v>25</v>
      </c>
      <c r="I113" s="14" t="s">
        <v>118</v>
      </c>
      <c r="J113" s="14" t="s">
        <v>119</v>
      </c>
      <c r="K113" s="14" t="s">
        <v>332</v>
      </c>
      <c r="L113" s="25">
        <v>500069</v>
      </c>
      <c r="M113" s="25" t="s">
        <v>316</v>
      </c>
      <c r="N113" s="115" t="s">
        <v>431</v>
      </c>
      <c r="O113" s="115" t="s">
        <v>327</v>
      </c>
      <c r="P113" s="116">
        <v>25</v>
      </c>
      <c r="Q113" s="114" t="s">
        <v>441</v>
      </c>
      <c r="R113" s="89"/>
      <c r="S113" s="89"/>
      <c r="T113" s="22"/>
      <c r="U113" s="56" t="s">
        <v>411</v>
      </c>
      <c r="V113" s="163" t="s">
        <v>600</v>
      </c>
      <c r="W113" s="70"/>
      <c r="X113" s="9"/>
    </row>
    <row r="114" spans="1:28" ht="16.5" customHeight="1" x14ac:dyDescent="0.3">
      <c r="B114" s="1"/>
      <c r="C114" s="22">
        <v>40</v>
      </c>
      <c r="D114" s="14" t="s">
        <v>15</v>
      </c>
      <c r="E114" s="14">
        <v>40</v>
      </c>
      <c r="F114" s="14" t="s">
        <v>342</v>
      </c>
      <c r="G114" s="14"/>
      <c r="H114" s="14" t="s">
        <v>109</v>
      </c>
      <c r="I114" s="14" t="s">
        <v>110</v>
      </c>
      <c r="J114" s="14" t="s">
        <v>50</v>
      </c>
      <c r="K114" s="14">
        <v>2007</v>
      </c>
      <c r="L114" s="14">
        <v>60003457</v>
      </c>
      <c r="M114" s="14" t="s">
        <v>170</v>
      </c>
      <c r="N114" s="118" t="s">
        <v>430</v>
      </c>
      <c r="O114" s="118" t="s">
        <v>328</v>
      </c>
      <c r="P114" s="120">
        <v>40</v>
      </c>
      <c r="Q114" s="93" t="s">
        <v>463</v>
      </c>
      <c r="R114" s="115" t="s">
        <v>463</v>
      </c>
      <c r="S114" s="115" t="s">
        <v>524</v>
      </c>
      <c r="T114" s="22"/>
      <c r="U114" s="27"/>
      <c r="V114" s="27"/>
      <c r="W114" s="70" t="s">
        <v>355</v>
      </c>
      <c r="X114" s="9"/>
    </row>
    <row r="115" spans="1:28" ht="16.5" customHeight="1" x14ac:dyDescent="0.3">
      <c r="B115" s="1"/>
      <c r="C115" s="22">
        <v>41</v>
      </c>
      <c r="D115" s="14" t="s">
        <v>15</v>
      </c>
      <c r="E115" s="22">
        <v>50</v>
      </c>
      <c r="F115" s="14" t="s">
        <v>343</v>
      </c>
      <c r="G115" s="14"/>
      <c r="H115" s="14" t="s">
        <v>113</v>
      </c>
      <c r="I115" s="14" t="s">
        <v>112</v>
      </c>
      <c r="J115" s="14" t="s">
        <v>43</v>
      </c>
      <c r="K115" s="14">
        <v>2012</v>
      </c>
      <c r="L115" s="14">
        <v>60005381</v>
      </c>
      <c r="M115" s="14">
        <v>364073</v>
      </c>
      <c r="N115" s="118" t="s">
        <v>430</v>
      </c>
      <c r="O115" s="119" t="s">
        <v>327</v>
      </c>
      <c r="P115" s="120">
        <v>50</v>
      </c>
      <c r="Q115" s="93" t="s">
        <v>473</v>
      </c>
      <c r="R115" s="115" t="s">
        <v>473</v>
      </c>
      <c r="S115" s="115" t="s">
        <v>524</v>
      </c>
      <c r="T115" s="22"/>
      <c r="U115" s="27"/>
      <c r="V115" s="27"/>
      <c r="W115" s="70" t="s">
        <v>355</v>
      </c>
      <c r="X115" s="9"/>
    </row>
    <row r="116" spans="1:28" ht="16.5" customHeight="1" x14ac:dyDescent="0.3">
      <c r="B116" s="1"/>
      <c r="C116" s="22">
        <v>42</v>
      </c>
      <c r="D116" s="14" t="s">
        <v>15</v>
      </c>
      <c r="E116" s="14">
        <v>50</v>
      </c>
      <c r="F116" s="14" t="s">
        <v>344</v>
      </c>
      <c r="G116" s="14"/>
      <c r="H116" s="14" t="s">
        <v>113</v>
      </c>
      <c r="I116" s="14" t="s">
        <v>112</v>
      </c>
      <c r="J116" s="14" t="s">
        <v>119</v>
      </c>
      <c r="K116" s="14">
        <v>2014</v>
      </c>
      <c r="L116" s="14">
        <v>60005772</v>
      </c>
      <c r="M116" s="14" t="s">
        <v>171</v>
      </c>
      <c r="N116" s="118" t="s">
        <v>430</v>
      </c>
      <c r="O116" s="119" t="s">
        <v>327</v>
      </c>
      <c r="P116" s="120">
        <v>50</v>
      </c>
      <c r="Q116" s="93" t="s">
        <v>480</v>
      </c>
      <c r="R116" s="115" t="s">
        <v>480</v>
      </c>
      <c r="S116" s="115" t="s">
        <v>524</v>
      </c>
      <c r="T116" s="22"/>
      <c r="U116" s="27"/>
      <c r="V116" s="27"/>
      <c r="W116" s="70" t="s">
        <v>355</v>
      </c>
      <c r="X116" s="9"/>
    </row>
    <row r="117" spans="1:28" ht="16.5" customHeight="1" x14ac:dyDescent="0.3">
      <c r="B117" s="1"/>
      <c r="C117" s="22">
        <v>43</v>
      </c>
      <c r="D117" s="14" t="s">
        <v>16</v>
      </c>
      <c r="E117" s="14">
        <v>40</v>
      </c>
      <c r="F117" s="14" t="s">
        <v>342</v>
      </c>
      <c r="G117" s="14"/>
      <c r="H117" s="14" t="s">
        <v>109</v>
      </c>
      <c r="I117" s="14" t="s">
        <v>110</v>
      </c>
      <c r="J117" s="14" t="s">
        <v>50</v>
      </c>
      <c r="K117" s="14">
        <v>2008</v>
      </c>
      <c r="L117" s="14">
        <v>60003638</v>
      </c>
      <c r="M117" s="14" t="s">
        <v>172</v>
      </c>
      <c r="N117" s="118" t="s">
        <v>430</v>
      </c>
      <c r="O117" s="118" t="s">
        <v>328</v>
      </c>
      <c r="P117" s="120">
        <v>40</v>
      </c>
      <c r="Q117" s="117" t="s">
        <v>518</v>
      </c>
      <c r="R117" s="115" t="s">
        <v>465</v>
      </c>
      <c r="S117" s="115" t="s">
        <v>526</v>
      </c>
      <c r="T117" s="22"/>
      <c r="U117" s="27"/>
      <c r="V117" s="27"/>
      <c r="W117" s="45"/>
      <c r="X117" s="9"/>
    </row>
    <row r="118" spans="1:28" x14ac:dyDescent="0.3">
      <c r="B118" s="1"/>
      <c r="C118" s="22">
        <v>44</v>
      </c>
      <c r="D118" s="14" t="s">
        <v>17</v>
      </c>
      <c r="E118" s="14">
        <v>25</v>
      </c>
      <c r="F118" s="14" t="s">
        <v>342</v>
      </c>
      <c r="G118" s="14"/>
      <c r="H118" s="14" t="s">
        <v>116</v>
      </c>
      <c r="I118" s="14" t="s">
        <v>112</v>
      </c>
      <c r="J118" s="14" t="s">
        <v>295</v>
      </c>
      <c r="K118" s="14" t="s">
        <v>296</v>
      </c>
      <c r="L118" s="14">
        <v>500053</v>
      </c>
      <c r="M118" s="14" t="s">
        <v>173</v>
      </c>
      <c r="N118" s="115" t="s">
        <v>431</v>
      </c>
      <c r="O118" s="115" t="s">
        <v>327</v>
      </c>
      <c r="P118" s="116">
        <v>25</v>
      </c>
      <c r="Q118" s="114" t="s">
        <v>480</v>
      </c>
      <c r="R118" s="115" t="s">
        <v>442</v>
      </c>
      <c r="S118" s="115" t="s">
        <v>527</v>
      </c>
      <c r="T118" s="22"/>
      <c r="U118" s="27"/>
      <c r="V118" s="27"/>
      <c r="W118" s="45"/>
      <c r="X118" s="9"/>
    </row>
    <row r="119" spans="1:28" x14ac:dyDescent="0.3">
      <c r="C119" s="22">
        <v>45</v>
      </c>
      <c r="D119" s="14" t="s">
        <v>17</v>
      </c>
      <c r="E119" s="14">
        <v>25</v>
      </c>
      <c r="F119" s="14" t="s">
        <v>343</v>
      </c>
      <c r="G119" s="14"/>
      <c r="H119" s="14" t="s">
        <v>116</v>
      </c>
      <c r="I119" s="14" t="s">
        <v>140</v>
      </c>
      <c r="J119" s="14" t="s">
        <v>141</v>
      </c>
      <c r="K119" s="14">
        <v>1990</v>
      </c>
      <c r="L119" s="25" t="s">
        <v>142</v>
      </c>
      <c r="M119" s="25" t="s">
        <v>143</v>
      </c>
      <c r="N119" s="115" t="s">
        <v>431</v>
      </c>
      <c r="O119" s="115" t="s">
        <v>327</v>
      </c>
      <c r="P119" s="116">
        <v>25</v>
      </c>
      <c r="Q119" s="114" t="s">
        <v>419</v>
      </c>
      <c r="R119" s="89"/>
      <c r="S119" s="89"/>
      <c r="T119" s="22"/>
      <c r="U119" s="27"/>
      <c r="V119" s="27"/>
      <c r="W119" s="45"/>
      <c r="X119" s="9"/>
      <c r="Y119" s="85"/>
      <c r="Z119" s="85"/>
      <c r="AA119" s="85"/>
      <c r="AB119" s="85"/>
    </row>
    <row r="120" spans="1:28" ht="16.5" customHeight="1" x14ac:dyDescent="0.3">
      <c r="B120" s="1"/>
      <c r="C120" s="22">
        <v>46</v>
      </c>
      <c r="D120" s="14" t="s">
        <v>18</v>
      </c>
      <c r="E120" s="14">
        <v>50</v>
      </c>
      <c r="F120" s="14" t="s">
        <v>342</v>
      </c>
      <c r="G120" s="14"/>
      <c r="H120" s="14" t="s">
        <v>113</v>
      </c>
      <c r="I120" s="14" t="s">
        <v>118</v>
      </c>
      <c r="J120" s="14" t="s">
        <v>43</v>
      </c>
      <c r="K120" s="14">
        <v>2020</v>
      </c>
      <c r="L120" s="14">
        <v>60008764</v>
      </c>
      <c r="M120" s="14" t="s">
        <v>362</v>
      </c>
      <c r="N120" s="118" t="s">
        <v>430</v>
      </c>
      <c r="O120" s="119" t="s">
        <v>327</v>
      </c>
      <c r="P120" s="120">
        <v>50</v>
      </c>
      <c r="Q120" s="117" t="s">
        <v>502</v>
      </c>
      <c r="R120" s="115" t="s">
        <v>485</v>
      </c>
      <c r="S120" s="115" t="s">
        <v>524</v>
      </c>
      <c r="T120" s="22"/>
      <c r="U120" s="56" t="s">
        <v>350</v>
      </c>
      <c r="V120" s="163" t="s">
        <v>600</v>
      </c>
      <c r="W120" s="45"/>
      <c r="X120" s="9"/>
    </row>
    <row r="121" spans="1:28" s="84" customFormat="1" ht="16.5" customHeight="1" x14ac:dyDescent="0.3">
      <c r="A121" s="24"/>
      <c r="B121" s="24"/>
      <c r="C121" s="22">
        <v>47</v>
      </c>
      <c r="D121" s="14" t="s">
        <v>18</v>
      </c>
      <c r="E121" s="14">
        <v>40</v>
      </c>
      <c r="F121" s="14" t="s">
        <v>343</v>
      </c>
      <c r="G121" s="14"/>
      <c r="H121" s="14" t="s">
        <v>207</v>
      </c>
      <c r="I121" s="14" t="s">
        <v>124</v>
      </c>
      <c r="J121" s="14" t="s">
        <v>50</v>
      </c>
      <c r="K121" s="14">
        <v>2007</v>
      </c>
      <c r="L121" s="14">
        <v>60003489</v>
      </c>
      <c r="M121" s="14" t="s">
        <v>243</v>
      </c>
      <c r="N121" s="118" t="s">
        <v>430</v>
      </c>
      <c r="O121" s="118" t="s">
        <v>328</v>
      </c>
      <c r="P121" s="120">
        <v>40</v>
      </c>
      <c r="Q121" s="117" t="s">
        <v>482</v>
      </c>
      <c r="R121" s="115" t="s">
        <v>458</v>
      </c>
      <c r="S121" s="115" t="s">
        <v>524</v>
      </c>
      <c r="T121" s="56"/>
      <c r="U121" s="27" t="s">
        <v>351</v>
      </c>
      <c r="V121" s="161" t="s">
        <v>574</v>
      </c>
      <c r="W121" s="70"/>
      <c r="X121" s="9"/>
      <c r="Y121" s="86"/>
      <c r="Z121" s="86"/>
      <c r="AA121" s="86"/>
      <c r="AB121" s="86"/>
    </row>
    <row r="122" spans="1:28" x14ac:dyDescent="0.3">
      <c r="B122" s="1"/>
      <c r="C122" s="22">
        <v>48</v>
      </c>
      <c r="D122" s="14" t="s">
        <v>18</v>
      </c>
      <c r="E122" s="14">
        <v>40</v>
      </c>
      <c r="F122" s="14" t="s">
        <v>344</v>
      </c>
      <c r="G122" s="14"/>
      <c r="H122" s="14" t="s">
        <v>109</v>
      </c>
      <c r="I122" s="14" t="s">
        <v>110</v>
      </c>
      <c r="J122" s="14" t="s">
        <v>50</v>
      </c>
      <c r="K122" s="14">
        <v>2006</v>
      </c>
      <c r="L122" s="14">
        <v>60003223</v>
      </c>
      <c r="M122" s="14" t="s">
        <v>189</v>
      </c>
      <c r="N122" s="118" t="s">
        <v>430</v>
      </c>
      <c r="O122" s="118" t="s">
        <v>328</v>
      </c>
      <c r="P122" s="120">
        <v>40</v>
      </c>
      <c r="Q122" s="93" t="s">
        <v>476</v>
      </c>
      <c r="R122" s="93"/>
      <c r="S122" s="93"/>
      <c r="T122" s="22"/>
      <c r="U122" s="27" t="s">
        <v>351</v>
      </c>
      <c r="V122" s="163" t="s">
        <v>600</v>
      </c>
      <c r="W122" s="45"/>
      <c r="X122" s="130" t="s">
        <v>561</v>
      </c>
    </row>
    <row r="123" spans="1:28" ht="16.5" customHeight="1" x14ac:dyDescent="0.3">
      <c r="B123" s="1"/>
      <c r="C123" s="22">
        <v>49</v>
      </c>
      <c r="D123" s="14" t="s">
        <v>19</v>
      </c>
      <c r="E123" s="14">
        <v>50</v>
      </c>
      <c r="F123" s="14" t="s">
        <v>342</v>
      </c>
      <c r="G123" s="14"/>
      <c r="H123" s="14" t="s">
        <v>113</v>
      </c>
      <c r="I123" s="14" t="s">
        <v>112</v>
      </c>
      <c r="J123" s="14" t="s">
        <v>43</v>
      </c>
      <c r="K123" s="14">
        <v>2013</v>
      </c>
      <c r="L123" s="14">
        <v>60005530</v>
      </c>
      <c r="M123" s="14">
        <v>364077</v>
      </c>
      <c r="N123" s="118" t="s">
        <v>430</v>
      </c>
      <c r="O123" s="119" t="s">
        <v>327</v>
      </c>
      <c r="P123" s="120">
        <v>50</v>
      </c>
      <c r="Q123" s="93" t="s">
        <v>477</v>
      </c>
      <c r="R123" s="115" t="s">
        <v>477</v>
      </c>
      <c r="S123" s="115" t="s">
        <v>524</v>
      </c>
      <c r="T123" s="22"/>
      <c r="U123" s="27"/>
      <c r="V123" s="27"/>
      <c r="W123" s="45"/>
      <c r="X123" s="9"/>
    </row>
    <row r="124" spans="1:28" x14ac:dyDescent="0.3">
      <c r="B124" s="1"/>
      <c r="C124" s="22">
        <v>50</v>
      </c>
      <c r="D124" s="14" t="s">
        <v>19</v>
      </c>
      <c r="E124" s="14">
        <v>40</v>
      </c>
      <c r="F124" s="14" t="s">
        <v>343</v>
      </c>
      <c r="G124" s="14"/>
      <c r="H124" s="14" t="s">
        <v>156</v>
      </c>
      <c r="I124" s="14" t="s">
        <v>112</v>
      </c>
      <c r="J124" s="14" t="s">
        <v>50</v>
      </c>
      <c r="K124" s="14">
        <v>1998</v>
      </c>
      <c r="L124" s="14">
        <v>60000203</v>
      </c>
      <c r="M124" s="14" t="s">
        <v>177</v>
      </c>
      <c r="N124" s="115" t="s">
        <v>431</v>
      </c>
      <c r="O124" s="115" t="s">
        <v>327</v>
      </c>
      <c r="P124" s="116">
        <v>40</v>
      </c>
      <c r="Q124" s="114" t="s">
        <v>472</v>
      </c>
      <c r="R124" s="115" t="s">
        <v>456</v>
      </c>
      <c r="S124" s="115" t="s">
        <v>524</v>
      </c>
      <c r="T124" s="22"/>
      <c r="U124" s="27"/>
      <c r="V124" s="27"/>
      <c r="W124" s="45"/>
      <c r="X124" s="9"/>
    </row>
    <row r="125" spans="1:28" x14ac:dyDescent="0.3">
      <c r="B125" s="1"/>
      <c r="C125" s="22">
        <v>51</v>
      </c>
      <c r="D125" s="14" t="s">
        <v>20</v>
      </c>
      <c r="E125" s="14">
        <v>25</v>
      </c>
      <c r="F125" s="14" t="s">
        <v>342</v>
      </c>
      <c r="G125" s="14"/>
      <c r="H125" s="14">
        <v>25</v>
      </c>
      <c r="I125" s="14" t="s">
        <v>112</v>
      </c>
      <c r="J125" s="14" t="s">
        <v>326</v>
      </c>
      <c r="K125" s="14" t="s">
        <v>297</v>
      </c>
      <c r="L125" s="25" t="s">
        <v>178</v>
      </c>
      <c r="M125" s="25" t="s">
        <v>179</v>
      </c>
      <c r="N125" s="115" t="s">
        <v>431</v>
      </c>
      <c r="O125" s="115" t="s">
        <v>327</v>
      </c>
      <c r="P125" s="116">
        <v>25</v>
      </c>
      <c r="Q125" s="114" t="s">
        <v>466</v>
      </c>
      <c r="R125" s="89"/>
      <c r="S125" s="115"/>
      <c r="T125" s="22"/>
      <c r="U125" s="27"/>
      <c r="V125" s="27"/>
      <c r="W125" s="45"/>
      <c r="X125" s="9"/>
    </row>
    <row r="126" spans="1:28" x14ac:dyDescent="0.3">
      <c r="B126" s="1"/>
      <c r="C126" s="22">
        <v>52</v>
      </c>
      <c r="D126" s="14" t="s">
        <v>20</v>
      </c>
      <c r="E126" s="14">
        <v>25</v>
      </c>
      <c r="F126" s="14" t="s">
        <v>343</v>
      </c>
      <c r="G126" s="14"/>
      <c r="H126" s="14" t="s">
        <v>163</v>
      </c>
      <c r="I126" s="14" t="s">
        <v>110</v>
      </c>
      <c r="J126" s="14" t="s">
        <v>50</v>
      </c>
      <c r="K126" s="14">
        <v>2005</v>
      </c>
      <c r="L126" s="14">
        <v>60003004</v>
      </c>
      <c r="M126" s="14" t="s">
        <v>180</v>
      </c>
      <c r="N126" s="115" t="s">
        <v>431</v>
      </c>
      <c r="O126" s="115" t="s">
        <v>328</v>
      </c>
      <c r="P126" s="116">
        <v>25</v>
      </c>
      <c r="Q126" s="114" t="s">
        <v>467</v>
      </c>
      <c r="R126" s="115" t="s">
        <v>459</v>
      </c>
      <c r="S126" s="115" t="s">
        <v>531</v>
      </c>
      <c r="T126" s="22"/>
      <c r="U126" s="27" t="s">
        <v>351</v>
      </c>
      <c r="V126" s="161" t="s">
        <v>574</v>
      </c>
      <c r="W126" s="45"/>
      <c r="X126" s="9"/>
    </row>
    <row r="127" spans="1:28" ht="16.5" customHeight="1" x14ac:dyDescent="0.3">
      <c r="B127" s="1"/>
      <c r="C127" s="22">
        <v>53</v>
      </c>
      <c r="D127" s="22" t="s">
        <v>21</v>
      </c>
      <c r="E127" s="14">
        <v>50</v>
      </c>
      <c r="F127" s="14" t="s">
        <v>342</v>
      </c>
      <c r="G127" s="14"/>
      <c r="H127" s="14" t="s">
        <v>113</v>
      </c>
      <c r="I127" s="14" t="s">
        <v>112</v>
      </c>
      <c r="J127" s="14" t="s">
        <v>43</v>
      </c>
      <c r="K127" s="14">
        <v>2012</v>
      </c>
      <c r="L127" s="14">
        <v>60005325</v>
      </c>
      <c r="M127" s="14">
        <v>359110</v>
      </c>
      <c r="N127" s="118" t="s">
        <v>430</v>
      </c>
      <c r="O127" s="119" t="s">
        <v>327</v>
      </c>
      <c r="P127" s="120">
        <v>50</v>
      </c>
      <c r="Q127" s="93" t="s">
        <v>472</v>
      </c>
      <c r="R127" s="115" t="s">
        <v>472</v>
      </c>
      <c r="S127" s="114" t="s">
        <v>530</v>
      </c>
      <c r="T127" s="22"/>
      <c r="U127" s="162" t="s">
        <v>594</v>
      </c>
      <c r="V127" s="162"/>
      <c r="W127" s="70" t="s">
        <v>355</v>
      </c>
      <c r="X127" s="9"/>
    </row>
    <row r="128" spans="1:28" x14ac:dyDescent="0.3">
      <c r="B128" s="1"/>
      <c r="C128" s="22">
        <v>54</v>
      </c>
      <c r="D128" s="22" t="s">
        <v>21</v>
      </c>
      <c r="E128" s="22">
        <v>25</v>
      </c>
      <c r="F128" s="14" t="s">
        <v>343</v>
      </c>
      <c r="G128" s="14"/>
      <c r="H128" s="14">
        <v>25</v>
      </c>
      <c r="I128" s="14" t="s">
        <v>112</v>
      </c>
      <c r="J128" s="14" t="s">
        <v>325</v>
      </c>
      <c r="K128" s="14" t="s">
        <v>298</v>
      </c>
      <c r="L128" s="25" t="s">
        <v>181</v>
      </c>
      <c r="M128" s="25" t="s">
        <v>182</v>
      </c>
      <c r="N128" s="115" t="s">
        <v>431</v>
      </c>
      <c r="O128" s="115" t="s">
        <v>327</v>
      </c>
      <c r="P128" s="116">
        <v>25</v>
      </c>
      <c r="Q128" s="114" t="s">
        <v>481</v>
      </c>
      <c r="R128" s="115"/>
      <c r="S128" s="89"/>
      <c r="T128" s="22"/>
      <c r="U128" s="56"/>
      <c r="V128" s="56"/>
      <c r="W128" s="70" t="s">
        <v>355</v>
      </c>
      <c r="X128" s="9"/>
    </row>
    <row r="129" spans="1:24" ht="16.5" customHeight="1" x14ac:dyDescent="0.3">
      <c r="B129" s="1"/>
      <c r="C129" s="22">
        <v>55</v>
      </c>
      <c r="D129" s="22" t="s">
        <v>21</v>
      </c>
      <c r="E129" s="14">
        <v>40</v>
      </c>
      <c r="F129" s="14" t="s">
        <v>344</v>
      </c>
      <c r="G129" s="14"/>
      <c r="H129" s="14" t="s">
        <v>109</v>
      </c>
      <c r="I129" s="14" t="s">
        <v>110</v>
      </c>
      <c r="J129" s="14" t="s">
        <v>50</v>
      </c>
      <c r="K129" s="14">
        <v>2007</v>
      </c>
      <c r="L129" s="14">
        <v>60003386</v>
      </c>
      <c r="M129" s="14" t="s">
        <v>183</v>
      </c>
      <c r="N129" s="118" t="s">
        <v>430</v>
      </c>
      <c r="O129" s="118" t="s">
        <v>328</v>
      </c>
      <c r="P129" s="120">
        <v>40</v>
      </c>
      <c r="Q129" s="93" t="s">
        <v>461</v>
      </c>
      <c r="R129" s="115" t="s">
        <v>461</v>
      </c>
      <c r="S129" s="115" t="s">
        <v>526</v>
      </c>
      <c r="T129" s="22"/>
      <c r="U129" s="56"/>
      <c r="V129" s="56"/>
      <c r="W129" s="70" t="s">
        <v>355</v>
      </c>
      <c r="X129" s="9"/>
    </row>
    <row r="130" spans="1:24" ht="16.5" customHeight="1" x14ac:dyDescent="0.3">
      <c r="B130" s="1"/>
      <c r="C130" s="22">
        <v>56</v>
      </c>
      <c r="D130" s="14" t="s">
        <v>4</v>
      </c>
      <c r="E130" s="14">
        <v>50</v>
      </c>
      <c r="F130" s="14" t="s">
        <v>342</v>
      </c>
      <c r="G130" s="14"/>
      <c r="H130" s="14">
        <v>50</v>
      </c>
      <c r="I130" s="14" t="s">
        <v>118</v>
      </c>
      <c r="J130" s="14" t="s">
        <v>43</v>
      </c>
      <c r="K130" s="14">
        <v>2013</v>
      </c>
      <c r="L130" s="14">
        <v>60005611</v>
      </c>
      <c r="M130" s="14">
        <v>364078</v>
      </c>
      <c r="N130" s="118" t="s">
        <v>430</v>
      </c>
      <c r="O130" s="119" t="s">
        <v>327</v>
      </c>
      <c r="P130" s="120">
        <v>50</v>
      </c>
      <c r="Q130" s="117" t="s">
        <v>428</v>
      </c>
      <c r="R130" s="115" t="s">
        <v>518</v>
      </c>
      <c r="S130" s="115" t="s">
        <v>524</v>
      </c>
      <c r="T130" s="22"/>
      <c r="U130" s="27"/>
      <c r="V130" s="27"/>
      <c r="W130" s="45"/>
      <c r="X130" s="128" t="s">
        <v>218</v>
      </c>
    </row>
    <row r="131" spans="1:24" x14ac:dyDescent="0.3">
      <c r="B131" s="1"/>
      <c r="C131" s="22">
        <v>57</v>
      </c>
      <c r="D131" s="14" t="s">
        <v>22</v>
      </c>
      <c r="E131" s="14">
        <v>10</v>
      </c>
      <c r="F131" s="14" t="s">
        <v>342</v>
      </c>
      <c r="G131" s="14"/>
      <c r="H131" s="14" t="s">
        <v>184</v>
      </c>
      <c r="I131" s="14" t="s">
        <v>185</v>
      </c>
      <c r="J131" s="14" t="s">
        <v>119</v>
      </c>
      <c r="K131" s="14">
        <v>1998</v>
      </c>
      <c r="L131" s="14">
        <v>60000504</v>
      </c>
      <c r="M131" s="14" t="s">
        <v>186</v>
      </c>
      <c r="N131" s="115" t="s">
        <v>431</v>
      </c>
      <c r="O131" s="115" t="s">
        <v>328</v>
      </c>
      <c r="P131" s="116">
        <v>10</v>
      </c>
      <c r="Q131" s="94" t="s">
        <v>457</v>
      </c>
      <c r="R131" s="115" t="s">
        <v>457</v>
      </c>
      <c r="S131" s="115" t="s">
        <v>534</v>
      </c>
      <c r="T131" s="22"/>
      <c r="U131" s="27"/>
      <c r="V131" s="27"/>
      <c r="W131" s="45"/>
      <c r="X131" s="9"/>
    </row>
    <row r="132" spans="1:24" x14ac:dyDescent="0.3">
      <c r="B132" s="1"/>
      <c r="C132" s="22">
        <v>58</v>
      </c>
      <c r="D132" s="100" t="s">
        <v>23</v>
      </c>
      <c r="E132" s="14">
        <v>25</v>
      </c>
      <c r="F132" s="14" t="s">
        <v>342</v>
      </c>
      <c r="G132" s="14"/>
      <c r="H132" s="14" t="s">
        <v>116</v>
      </c>
      <c r="I132" s="14" t="s">
        <v>140</v>
      </c>
      <c r="J132" s="14" t="s">
        <v>50</v>
      </c>
      <c r="K132" s="14">
        <v>1995</v>
      </c>
      <c r="L132" s="14">
        <v>50500507</v>
      </c>
      <c r="M132" s="14" t="s">
        <v>187</v>
      </c>
      <c r="N132" s="115" t="s">
        <v>431</v>
      </c>
      <c r="O132" s="115" t="s">
        <v>327</v>
      </c>
      <c r="P132" s="116">
        <v>25</v>
      </c>
      <c r="Q132" s="114" t="s">
        <v>477</v>
      </c>
      <c r="R132" s="115" t="s">
        <v>449</v>
      </c>
      <c r="S132" s="115" t="s">
        <v>536</v>
      </c>
      <c r="T132" s="44" t="s">
        <v>597</v>
      </c>
      <c r="U132" s="27"/>
      <c r="V132" s="27"/>
      <c r="W132" s="45"/>
      <c r="X132" s="9"/>
    </row>
    <row r="133" spans="1:24" ht="16.5" customHeight="1" x14ac:dyDescent="0.3">
      <c r="B133" s="1"/>
      <c r="C133" s="22">
        <v>59</v>
      </c>
      <c r="D133" s="100" t="s">
        <v>23</v>
      </c>
      <c r="E133" s="14">
        <v>25</v>
      </c>
      <c r="F133" s="14" t="s">
        <v>343</v>
      </c>
      <c r="G133" s="14"/>
      <c r="H133" s="14" t="s">
        <v>163</v>
      </c>
      <c r="I133" s="14" t="s">
        <v>110</v>
      </c>
      <c r="J133" s="14" t="s">
        <v>119</v>
      </c>
      <c r="K133" s="14">
        <v>2016</v>
      </c>
      <c r="L133" s="14">
        <v>60007215</v>
      </c>
      <c r="M133" s="14">
        <v>147400</v>
      </c>
      <c r="N133" s="118" t="s">
        <v>430</v>
      </c>
      <c r="O133" s="118" t="s">
        <v>328</v>
      </c>
      <c r="P133" s="120">
        <v>25</v>
      </c>
      <c r="Q133" s="93" t="s">
        <v>492</v>
      </c>
      <c r="R133" s="118"/>
      <c r="S133" s="118"/>
      <c r="T133" s="22"/>
      <c r="U133" s="27"/>
      <c r="V133" s="27"/>
      <c r="W133" s="45"/>
      <c r="X133" s="9"/>
    </row>
    <row r="134" spans="1:24" ht="16.5" customHeight="1" x14ac:dyDescent="0.3">
      <c r="B134" s="1"/>
      <c r="C134" s="22">
        <v>60</v>
      </c>
      <c r="D134" s="14" t="s">
        <v>24</v>
      </c>
      <c r="E134" s="14">
        <v>50</v>
      </c>
      <c r="F134" s="14" t="s">
        <v>342</v>
      </c>
      <c r="G134" s="14"/>
      <c r="H134" s="14">
        <v>50</v>
      </c>
      <c r="I134" s="14" t="s">
        <v>107</v>
      </c>
      <c r="J134" s="14" t="s">
        <v>43</v>
      </c>
      <c r="K134" s="14">
        <v>2017</v>
      </c>
      <c r="L134" s="14">
        <v>60007547</v>
      </c>
      <c r="M134" s="14" t="s">
        <v>188</v>
      </c>
      <c r="N134" s="118" t="s">
        <v>430</v>
      </c>
      <c r="O134" s="119" t="s">
        <v>329</v>
      </c>
      <c r="P134" s="120">
        <v>50</v>
      </c>
      <c r="Q134" s="93" t="s">
        <v>519</v>
      </c>
      <c r="R134" s="115" t="s">
        <v>519</v>
      </c>
      <c r="S134" s="115" t="s">
        <v>528</v>
      </c>
      <c r="T134" s="22"/>
      <c r="U134" s="27"/>
      <c r="V134" s="27"/>
      <c r="W134" s="45"/>
      <c r="X134" s="9"/>
    </row>
    <row r="135" spans="1:24" ht="16.5" customHeight="1" x14ac:dyDescent="0.3">
      <c r="B135" s="1"/>
      <c r="C135" s="22">
        <v>61</v>
      </c>
      <c r="D135" s="14" t="s">
        <v>24</v>
      </c>
      <c r="E135" s="14">
        <v>50</v>
      </c>
      <c r="F135" s="14" t="s">
        <v>343</v>
      </c>
      <c r="G135" s="14"/>
      <c r="H135" s="14" t="s">
        <v>113</v>
      </c>
      <c r="I135" s="14" t="s">
        <v>112</v>
      </c>
      <c r="J135" s="14" t="s">
        <v>119</v>
      </c>
      <c r="K135" s="14">
        <v>2014</v>
      </c>
      <c r="L135" s="14">
        <v>60006149</v>
      </c>
      <c r="M135" s="14">
        <v>146918</v>
      </c>
      <c r="N135" s="118" t="s">
        <v>430</v>
      </c>
      <c r="O135" s="119" t="s">
        <v>327</v>
      </c>
      <c r="P135" s="120">
        <v>50</v>
      </c>
      <c r="Q135" s="93" t="s">
        <v>486</v>
      </c>
      <c r="R135" s="118"/>
      <c r="S135" s="115"/>
      <c r="T135" s="22"/>
      <c r="U135" s="27"/>
      <c r="V135" s="27"/>
      <c r="W135" s="45"/>
      <c r="X135" s="9"/>
    </row>
    <row r="136" spans="1:24" ht="16.5" customHeight="1" x14ac:dyDescent="0.3">
      <c r="B136" s="1"/>
      <c r="C136" s="22">
        <v>62</v>
      </c>
      <c r="D136" s="14" t="s">
        <v>25</v>
      </c>
      <c r="E136" s="14">
        <v>50</v>
      </c>
      <c r="F136" s="14" t="s">
        <v>342</v>
      </c>
      <c r="G136" s="14"/>
      <c r="H136" s="14" t="s">
        <v>113</v>
      </c>
      <c r="I136" s="14" t="s">
        <v>129</v>
      </c>
      <c r="J136" s="14" t="s">
        <v>325</v>
      </c>
      <c r="K136" s="14" t="s">
        <v>554</v>
      </c>
      <c r="L136" s="14">
        <v>60006097</v>
      </c>
      <c r="M136" s="14" t="s">
        <v>146</v>
      </c>
      <c r="N136" s="118" t="s">
        <v>430</v>
      </c>
      <c r="O136" s="119" t="s">
        <v>329</v>
      </c>
      <c r="P136" s="120">
        <v>50</v>
      </c>
      <c r="Q136" s="117" t="s">
        <v>427</v>
      </c>
      <c r="R136" s="115" t="s">
        <v>417</v>
      </c>
      <c r="S136" s="115" t="s">
        <v>529</v>
      </c>
      <c r="T136" s="14"/>
      <c r="U136" s="27"/>
      <c r="V136" s="27"/>
      <c r="W136" s="45"/>
      <c r="X136" s="130" t="s">
        <v>560</v>
      </c>
    </row>
    <row r="137" spans="1:24" x14ac:dyDescent="0.3">
      <c r="B137" s="1"/>
      <c r="C137" s="22">
        <v>63</v>
      </c>
      <c r="D137" s="14" t="s">
        <v>25</v>
      </c>
      <c r="E137" s="14">
        <v>25</v>
      </c>
      <c r="F137" s="14" t="s">
        <v>343</v>
      </c>
      <c r="G137" s="14"/>
      <c r="H137" s="14" t="s">
        <v>116</v>
      </c>
      <c r="I137" s="14" t="s">
        <v>140</v>
      </c>
      <c r="J137" s="14" t="s">
        <v>50</v>
      </c>
      <c r="K137" s="14">
        <v>1995</v>
      </c>
      <c r="L137" s="14">
        <v>50500508</v>
      </c>
      <c r="M137" s="14" t="s">
        <v>190</v>
      </c>
      <c r="N137" s="115" t="s">
        <v>431</v>
      </c>
      <c r="O137" s="115" t="s">
        <v>327</v>
      </c>
      <c r="P137" s="116">
        <v>25</v>
      </c>
      <c r="Q137" s="114" t="s">
        <v>485</v>
      </c>
      <c r="R137" s="89"/>
      <c r="S137" s="89"/>
      <c r="T137" s="44" t="s">
        <v>597</v>
      </c>
      <c r="U137" s="27"/>
      <c r="V137" s="27"/>
      <c r="W137" s="45"/>
      <c r="X137" s="9"/>
    </row>
    <row r="138" spans="1:24" x14ac:dyDescent="0.3">
      <c r="B138" s="1"/>
      <c r="C138" s="22">
        <v>64</v>
      </c>
      <c r="D138" s="14" t="s">
        <v>26</v>
      </c>
      <c r="E138" s="14">
        <v>5</v>
      </c>
      <c r="F138" s="14" t="s">
        <v>342</v>
      </c>
      <c r="G138" s="14"/>
      <c r="H138" s="14" t="s">
        <v>191</v>
      </c>
      <c r="I138" s="14" t="s">
        <v>192</v>
      </c>
      <c r="J138" s="14" t="s">
        <v>193</v>
      </c>
      <c r="K138" s="14">
        <v>1966</v>
      </c>
      <c r="L138" s="25" t="s">
        <v>194</v>
      </c>
      <c r="M138" s="25" t="s">
        <v>195</v>
      </c>
      <c r="N138" s="115" t="s">
        <v>431</v>
      </c>
      <c r="O138" s="115" t="s">
        <v>327</v>
      </c>
      <c r="P138" s="116">
        <v>5</v>
      </c>
      <c r="Q138" s="115" t="s">
        <v>438</v>
      </c>
      <c r="R138" s="115" t="s">
        <v>438</v>
      </c>
      <c r="S138" s="115" t="s">
        <v>535</v>
      </c>
      <c r="T138" s="22"/>
      <c r="U138" s="27"/>
      <c r="V138" s="27"/>
      <c r="W138" s="45"/>
      <c r="X138" s="9"/>
    </row>
    <row r="139" spans="1:24" ht="16.5" customHeight="1" x14ac:dyDescent="0.3">
      <c r="B139" s="5"/>
      <c r="C139" s="22">
        <v>65</v>
      </c>
      <c r="D139" s="14" t="s">
        <v>196</v>
      </c>
      <c r="E139" s="14">
        <v>50</v>
      </c>
      <c r="F139" s="14" t="s">
        <v>342</v>
      </c>
      <c r="G139" s="14"/>
      <c r="H139" s="14">
        <v>50</v>
      </c>
      <c r="I139" s="14" t="s">
        <v>118</v>
      </c>
      <c r="J139" s="14" t="s">
        <v>119</v>
      </c>
      <c r="K139" s="14">
        <v>2018</v>
      </c>
      <c r="L139" s="14">
        <v>60008244</v>
      </c>
      <c r="M139" s="14" t="s">
        <v>197</v>
      </c>
      <c r="N139" s="118" t="s">
        <v>430</v>
      </c>
      <c r="O139" s="119" t="s">
        <v>327</v>
      </c>
      <c r="P139" s="120">
        <v>50</v>
      </c>
      <c r="Q139" s="93" t="s">
        <v>499</v>
      </c>
      <c r="R139" s="118"/>
      <c r="S139" s="118"/>
      <c r="T139" s="44"/>
      <c r="U139" s="27"/>
      <c r="V139" s="27"/>
      <c r="W139" s="45"/>
      <c r="X139" s="9"/>
    </row>
    <row r="140" spans="1:24" x14ac:dyDescent="0.3">
      <c r="B140" s="5"/>
      <c r="C140" s="22">
        <v>66</v>
      </c>
      <c r="D140" s="14" t="s">
        <v>196</v>
      </c>
      <c r="E140" s="14">
        <v>25</v>
      </c>
      <c r="F140" s="14" t="s">
        <v>343</v>
      </c>
      <c r="G140" s="14"/>
      <c r="H140" s="14" t="s">
        <v>198</v>
      </c>
      <c r="I140" s="14" t="s">
        <v>124</v>
      </c>
      <c r="J140" s="14" t="s">
        <v>287</v>
      </c>
      <c r="K140" s="14" t="s">
        <v>299</v>
      </c>
      <c r="L140" s="14">
        <v>60000273</v>
      </c>
      <c r="M140" s="14" t="s">
        <v>199</v>
      </c>
      <c r="N140" s="115" t="s">
        <v>431</v>
      </c>
      <c r="O140" s="115" t="s">
        <v>328</v>
      </c>
      <c r="P140" s="116">
        <v>25</v>
      </c>
      <c r="Q140" s="114" t="s">
        <v>520</v>
      </c>
      <c r="R140" s="89"/>
      <c r="S140" s="89"/>
      <c r="T140" s="44"/>
      <c r="U140" s="27"/>
      <c r="V140" s="27"/>
      <c r="W140" s="45"/>
      <c r="X140" s="9"/>
    </row>
    <row r="141" spans="1:24" x14ac:dyDescent="0.3">
      <c r="B141" s="1"/>
      <c r="C141" s="22">
        <v>67</v>
      </c>
      <c r="D141" s="14" t="s">
        <v>27</v>
      </c>
      <c r="E141" s="14">
        <v>25</v>
      </c>
      <c r="F141" s="14" t="s">
        <v>342</v>
      </c>
      <c r="G141" s="14"/>
      <c r="H141" s="14" t="s">
        <v>116</v>
      </c>
      <c r="I141" s="14" t="s">
        <v>140</v>
      </c>
      <c r="J141" s="14" t="s">
        <v>119</v>
      </c>
      <c r="K141" s="14" t="s">
        <v>307</v>
      </c>
      <c r="L141" s="25" t="s">
        <v>359</v>
      </c>
      <c r="M141" s="25" t="s">
        <v>249</v>
      </c>
      <c r="N141" s="115" t="s">
        <v>431</v>
      </c>
      <c r="O141" s="115" t="s">
        <v>327</v>
      </c>
      <c r="P141" s="116">
        <v>25</v>
      </c>
      <c r="Q141" s="126" t="s">
        <v>445</v>
      </c>
      <c r="R141" s="115" t="s">
        <v>418</v>
      </c>
      <c r="S141" s="115" t="s">
        <v>524</v>
      </c>
      <c r="T141" s="22"/>
      <c r="U141" s="27"/>
      <c r="V141" s="27"/>
      <c r="W141" s="45"/>
      <c r="X141" s="9"/>
    </row>
    <row r="142" spans="1:24" x14ac:dyDescent="0.3">
      <c r="B142" s="1"/>
      <c r="C142" s="22">
        <v>68</v>
      </c>
      <c r="D142" s="14" t="s">
        <v>27</v>
      </c>
      <c r="E142" s="14">
        <v>25</v>
      </c>
      <c r="F142" s="14" t="s">
        <v>343</v>
      </c>
      <c r="G142" s="14"/>
      <c r="H142" s="14">
        <v>25</v>
      </c>
      <c r="I142" s="14" t="s">
        <v>272</v>
      </c>
      <c r="J142" s="14" t="s">
        <v>325</v>
      </c>
      <c r="K142" s="14" t="s">
        <v>320</v>
      </c>
      <c r="L142" s="14">
        <v>500070</v>
      </c>
      <c r="M142" s="14" t="s">
        <v>251</v>
      </c>
      <c r="N142" s="115" t="s">
        <v>431</v>
      </c>
      <c r="O142" s="115" t="s">
        <v>327</v>
      </c>
      <c r="P142" s="116">
        <v>25</v>
      </c>
      <c r="Q142" s="114" t="s">
        <v>502</v>
      </c>
      <c r="R142" s="89"/>
      <c r="S142" s="89"/>
      <c r="T142" s="22"/>
      <c r="U142" s="56" t="s">
        <v>411</v>
      </c>
      <c r="V142" s="163" t="s">
        <v>600</v>
      </c>
      <c r="W142" s="45"/>
      <c r="X142" s="9"/>
    </row>
    <row r="143" spans="1:24" x14ac:dyDescent="0.3">
      <c r="B143" s="1"/>
      <c r="C143" s="22">
        <v>69</v>
      </c>
      <c r="D143" s="14" t="s">
        <v>28</v>
      </c>
      <c r="E143" s="14">
        <v>25</v>
      </c>
      <c r="F143" s="14" t="s">
        <v>342</v>
      </c>
      <c r="G143" s="14"/>
      <c r="H143" s="14" t="s">
        <v>116</v>
      </c>
      <c r="I143" s="14" t="s">
        <v>140</v>
      </c>
      <c r="J143" s="14" t="s">
        <v>50</v>
      </c>
      <c r="K143" s="14">
        <v>1993</v>
      </c>
      <c r="L143" s="25" t="s">
        <v>203</v>
      </c>
      <c r="M143" s="25" t="s">
        <v>204</v>
      </c>
      <c r="N143" s="115" t="s">
        <v>431</v>
      </c>
      <c r="O143" s="115" t="s">
        <v>327</v>
      </c>
      <c r="P143" s="116">
        <v>25</v>
      </c>
      <c r="Q143" s="94" t="s">
        <v>532</v>
      </c>
      <c r="R143" s="94" t="s">
        <v>532</v>
      </c>
      <c r="S143" s="115" t="s">
        <v>524</v>
      </c>
      <c r="T143" s="22"/>
      <c r="U143" s="27"/>
      <c r="V143" s="27"/>
      <c r="W143" s="45"/>
      <c r="X143" s="9"/>
    </row>
    <row r="144" spans="1:24" s="84" customFormat="1" x14ac:dyDescent="0.3">
      <c r="A144" s="24"/>
      <c r="B144" s="1"/>
      <c r="C144" s="22">
        <v>70</v>
      </c>
      <c r="D144" s="14" t="s">
        <v>412</v>
      </c>
      <c r="E144" s="14">
        <v>25</v>
      </c>
      <c r="F144" s="14" t="s">
        <v>343</v>
      </c>
      <c r="G144" s="14"/>
      <c r="H144" s="14" t="s">
        <v>116</v>
      </c>
      <c r="I144" s="14" t="s">
        <v>140</v>
      </c>
      <c r="J144" s="14" t="s">
        <v>413</v>
      </c>
      <c r="K144" s="14" t="s">
        <v>414</v>
      </c>
      <c r="L144" s="14" t="s">
        <v>144</v>
      </c>
      <c r="M144" s="14" t="s">
        <v>145</v>
      </c>
      <c r="N144" s="115" t="s">
        <v>431</v>
      </c>
      <c r="O144" s="115" t="s">
        <v>327</v>
      </c>
      <c r="P144" s="116">
        <v>25</v>
      </c>
      <c r="Q144" s="127" t="s">
        <v>440</v>
      </c>
      <c r="R144" s="70"/>
      <c r="S144" s="70"/>
      <c r="T144" s="22"/>
      <c r="U144" s="56"/>
      <c r="V144" s="56"/>
      <c r="W144" s="70"/>
      <c r="X144" s="9"/>
    </row>
    <row r="145" spans="2:24" x14ac:dyDescent="0.3">
      <c r="B145" s="1"/>
      <c r="C145" s="22">
        <v>71</v>
      </c>
      <c r="D145" s="14" t="s">
        <v>28</v>
      </c>
      <c r="E145" s="14">
        <v>40</v>
      </c>
      <c r="F145" s="14" t="s">
        <v>344</v>
      </c>
      <c r="G145" s="14"/>
      <c r="H145" s="14" t="s">
        <v>207</v>
      </c>
      <c r="I145" s="14" t="s">
        <v>110</v>
      </c>
      <c r="J145" s="14" t="s">
        <v>50</v>
      </c>
      <c r="K145" s="14">
        <v>2005</v>
      </c>
      <c r="L145" s="14">
        <v>60003003</v>
      </c>
      <c r="M145" s="14" t="s">
        <v>208</v>
      </c>
      <c r="N145" s="115" t="s">
        <v>431</v>
      </c>
      <c r="O145" s="115" t="s">
        <v>328</v>
      </c>
      <c r="P145" s="116">
        <v>40</v>
      </c>
      <c r="Q145" s="114" t="s">
        <v>471</v>
      </c>
      <c r="R145" s="89"/>
      <c r="S145" s="89"/>
      <c r="T145" s="22"/>
      <c r="U145" s="27" t="s">
        <v>351</v>
      </c>
      <c r="V145" s="163" t="s">
        <v>600</v>
      </c>
      <c r="W145" s="45"/>
      <c r="X145" s="9"/>
    </row>
    <row r="146" spans="2:24" x14ac:dyDescent="0.3">
      <c r="B146" s="1"/>
      <c r="C146" s="47"/>
      <c r="D146" s="47"/>
      <c r="E146" s="66">
        <f>SUM(E75:E145)</f>
        <v>2609.4</v>
      </c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T146" s="26"/>
    </row>
    <row r="147" spans="2:24" x14ac:dyDescent="0.3">
      <c r="B147" s="1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T147" s="26"/>
    </row>
    <row r="148" spans="2:24" ht="14.25" customHeight="1" x14ac:dyDescent="0.3">
      <c r="B148" s="1"/>
      <c r="C148" s="29" t="s">
        <v>283</v>
      </c>
      <c r="D148" s="57"/>
      <c r="E148" s="57"/>
      <c r="F148" s="57"/>
      <c r="G148" s="57"/>
      <c r="H148" s="57"/>
      <c r="I148" s="58" t="s">
        <v>209</v>
      </c>
      <c r="J148" s="26"/>
      <c r="K148" s="26"/>
      <c r="L148" s="26"/>
      <c r="M148" s="26"/>
      <c r="N148" s="26"/>
      <c r="O148" s="26"/>
      <c r="P148" s="26"/>
      <c r="T148" s="26"/>
    </row>
    <row r="149" spans="2:24" ht="6" customHeight="1" x14ac:dyDescent="0.3">
      <c r="B149" s="1"/>
      <c r="C149" s="33"/>
      <c r="D149" s="57"/>
      <c r="E149" s="57"/>
      <c r="F149" s="57"/>
      <c r="G149" s="57"/>
      <c r="H149" s="57"/>
      <c r="I149" s="59"/>
      <c r="J149" s="26"/>
      <c r="K149" s="26"/>
      <c r="L149" s="26"/>
      <c r="M149" s="26"/>
      <c r="N149" s="26"/>
      <c r="O149" s="26"/>
      <c r="P149" s="26"/>
      <c r="T149" s="26"/>
    </row>
    <row r="150" spans="2:24" ht="29.25" customHeight="1" x14ac:dyDescent="0.3">
      <c r="B150" s="1"/>
      <c r="C150" s="64" t="s">
        <v>31</v>
      </c>
      <c r="D150" s="40" t="s">
        <v>32</v>
      </c>
      <c r="E150" s="40" t="s">
        <v>33</v>
      </c>
      <c r="F150" s="40" t="s">
        <v>34</v>
      </c>
      <c r="G150" s="41" t="s">
        <v>356</v>
      </c>
      <c r="H150" s="40" t="s">
        <v>35</v>
      </c>
      <c r="I150" s="65" t="s">
        <v>36</v>
      </c>
      <c r="J150" s="40" t="s">
        <v>37</v>
      </c>
      <c r="K150" s="65" t="s">
        <v>38</v>
      </c>
      <c r="L150" s="40" t="s">
        <v>39</v>
      </c>
      <c r="M150" s="60" t="s">
        <v>40</v>
      </c>
      <c r="N150" s="106" t="s">
        <v>517</v>
      </c>
      <c r="O150" s="106" t="s">
        <v>511</v>
      </c>
      <c r="P150" s="106" t="s">
        <v>512</v>
      </c>
      <c r="Q150" s="42" t="s">
        <v>543</v>
      </c>
      <c r="R150" s="42" t="s">
        <v>523</v>
      </c>
      <c r="S150" s="42" t="s">
        <v>321</v>
      </c>
      <c r="T150" s="40" t="s">
        <v>317</v>
      </c>
      <c r="U150" s="43" t="s">
        <v>341</v>
      </c>
      <c r="V150" s="42"/>
      <c r="W150" s="42" t="s">
        <v>354</v>
      </c>
      <c r="X150" s="8" t="s">
        <v>242</v>
      </c>
    </row>
    <row r="151" spans="2:24" x14ac:dyDescent="0.3">
      <c r="B151" s="1"/>
      <c r="C151" s="22">
        <v>1</v>
      </c>
      <c r="D151" s="14" t="s">
        <v>2</v>
      </c>
      <c r="E151" s="14">
        <v>20</v>
      </c>
      <c r="F151" s="14" t="s">
        <v>1</v>
      </c>
      <c r="G151" s="14" t="s">
        <v>322</v>
      </c>
      <c r="H151" s="14">
        <v>20</v>
      </c>
      <c r="I151" s="14" t="s">
        <v>210</v>
      </c>
      <c r="J151" s="14" t="s">
        <v>211</v>
      </c>
      <c r="K151" s="14">
        <v>1987</v>
      </c>
      <c r="L151" s="14">
        <v>50500501</v>
      </c>
      <c r="M151" s="14" t="s">
        <v>212</v>
      </c>
      <c r="N151" s="95" t="s">
        <v>432</v>
      </c>
      <c r="O151" s="14"/>
      <c r="P151" s="14"/>
      <c r="Q151" s="88" t="s">
        <v>508</v>
      </c>
      <c r="R151" s="88"/>
      <c r="S151" s="88"/>
      <c r="T151" s="14"/>
      <c r="U151" s="27"/>
      <c r="V151" s="27"/>
      <c r="W151" s="45"/>
      <c r="X151" s="9"/>
    </row>
    <row r="152" spans="2:24" x14ac:dyDescent="0.3">
      <c r="B152" s="1"/>
      <c r="C152" s="22">
        <v>2</v>
      </c>
      <c r="D152" s="14" t="s">
        <v>2</v>
      </c>
      <c r="E152" s="22">
        <v>20</v>
      </c>
      <c r="F152" s="14" t="s">
        <v>1</v>
      </c>
      <c r="G152" s="14" t="s">
        <v>323</v>
      </c>
      <c r="H152" s="14">
        <v>21</v>
      </c>
      <c r="I152" s="14" t="s">
        <v>210</v>
      </c>
      <c r="J152" s="14" t="s">
        <v>211</v>
      </c>
      <c r="K152" s="22">
        <v>1987</v>
      </c>
      <c r="L152" s="14">
        <v>50500502</v>
      </c>
      <c r="M152" s="14" t="s">
        <v>213</v>
      </c>
      <c r="N152" s="95" t="s">
        <v>432</v>
      </c>
      <c r="O152" s="14"/>
      <c r="P152" s="14"/>
      <c r="Q152" s="88" t="s">
        <v>508</v>
      </c>
      <c r="R152" s="88"/>
      <c r="S152" s="88"/>
      <c r="T152" s="22"/>
      <c r="U152" s="27"/>
      <c r="V152" s="27"/>
      <c r="W152" s="27"/>
      <c r="X152" s="9"/>
    </row>
    <row r="153" spans="2:24" x14ac:dyDescent="0.3">
      <c r="B153" s="1"/>
      <c r="C153" s="22">
        <v>3</v>
      </c>
      <c r="D153" s="14" t="s">
        <v>2</v>
      </c>
      <c r="E153" s="22">
        <v>20</v>
      </c>
      <c r="F153" s="14" t="s">
        <v>1</v>
      </c>
      <c r="G153" s="14" t="s">
        <v>324</v>
      </c>
      <c r="H153" s="14">
        <v>22</v>
      </c>
      <c r="I153" s="14" t="s">
        <v>210</v>
      </c>
      <c r="J153" s="14" t="s">
        <v>211</v>
      </c>
      <c r="K153" s="22">
        <v>1987</v>
      </c>
      <c r="L153" s="14">
        <v>50500503</v>
      </c>
      <c r="M153" s="14" t="s">
        <v>214</v>
      </c>
      <c r="N153" s="95" t="s">
        <v>432</v>
      </c>
      <c r="O153" s="14"/>
      <c r="P153" s="14"/>
      <c r="Q153" s="88" t="s">
        <v>508</v>
      </c>
      <c r="R153" s="88"/>
      <c r="S153" s="88"/>
      <c r="T153" s="22"/>
      <c r="U153" s="27"/>
      <c r="V153" s="27"/>
      <c r="W153" s="45"/>
      <c r="X153" s="9"/>
    </row>
    <row r="154" spans="2:24" x14ac:dyDescent="0.3">
      <c r="B154" s="1"/>
      <c r="C154" s="61"/>
      <c r="D154" s="61"/>
      <c r="E154" s="66">
        <f>SUM(E151:E153)</f>
        <v>60</v>
      </c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T154" s="26"/>
    </row>
    <row r="155" spans="2:24" x14ac:dyDescent="0.3"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110"/>
    </row>
    <row r="156" spans="2:24" ht="20.25" x14ac:dyDescent="0.3">
      <c r="C156" s="74" t="s">
        <v>404</v>
      </c>
      <c r="D156" s="75"/>
      <c r="E156" s="75"/>
      <c r="F156" s="75"/>
      <c r="G156" s="75"/>
      <c r="H156" s="76"/>
      <c r="I156" s="26"/>
      <c r="J156" s="26"/>
      <c r="K156" s="26"/>
      <c r="L156" s="26"/>
      <c r="M156" s="26"/>
      <c r="N156" s="26"/>
      <c r="O156" s="26"/>
      <c r="P156" s="26"/>
      <c r="T156" s="26"/>
    </row>
    <row r="157" spans="2:24" x14ac:dyDescent="0.3">
      <c r="C157" s="26"/>
      <c r="D157" s="63"/>
      <c r="E157" s="63"/>
      <c r="F157" s="63"/>
      <c r="G157" s="63"/>
      <c r="H157" s="63"/>
      <c r="I157" s="26"/>
      <c r="J157" s="26"/>
      <c r="K157" s="26"/>
      <c r="L157" s="26"/>
      <c r="M157" s="26"/>
      <c r="N157" s="26"/>
      <c r="O157" s="26"/>
      <c r="P157" s="26"/>
      <c r="T157" s="26"/>
    </row>
    <row r="158" spans="2:24" ht="20.25" x14ac:dyDescent="0.3">
      <c r="C158" s="73" t="s">
        <v>280</v>
      </c>
      <c r="D158" s="63"/>
      <c r="E158" s="63"/>
      <c r="F158" s="63"/>
      <c r="G158" s="63"/>
      <c r="H158" s="63"/>
      <c r="I158" s="58" t="s">
        <v>331</v>
      </c>
      <c r="J158" s="26"/>
      <c r="K158" s="26"/>
      <c r="L158" s="26"/>
      <c r="M158" s="26"/>
      <c r="N158" s="26"/>
      <c r="O158" s="26"/>
      <c r="P158" s="26"/>
      <c r="T158" s="26"/>
    </row>
    <row r="159" spans="2:24" ht="4.5" customHeight="1" x14ac:dyDescent="0.3">
      <c r="C159" s="7"/>
      <c r="D159" s="63"/>
      <c r="E159" s="63"/>
      <c r="F159" s="63"/>
      <c r="G159" s="63"/>
      <c r="H159" s="63"/>
      <c r="I159" s="26"/>
      <c r="J159" s="26"/>
      <c r="K159" s="26"/>
      <c r="L159" s="26"/>
      <c r="M159" s="26"/>
      <c r="N159" s="26"/>
      <c r="O159" s="26"/>
      <c r="P159" s="26"/>
      <c r="T159" s="26"/>
    </row>
    <row r="160" spans="2:24" ht="33" x14ac:dyDescent="0.3">
      <c r="C160" s="64" t="s">
        <v>31</v>
      </c>
      <c r="D160" s="40" t="s">
        <v>32</v>
      </c>
      <c r="E160" s="40" t="s">
        <v>33</v>
      </c>
      <c r="F160" s="40" t="s">
        <v>34</v>
      </c>
      <c r="G160" s="41" t="s">
        <v>356</v>
      </c>
      <c r="H160" s="40" t="s">
        <v>35</v>
      </c>
      <c r="I160" s="65" t="s">
        <v>36</v>
      </c>
      <c r="J160" s="40" t="s">
        <v>37</v>
      </c>
      <c r="K160" s="65" t="s">
        <v>38</v>
      </c>
      <c r="L160" s="40" t="s">
        <v>216</v>
      </c>
      <c r="M160" s="60" t="s">
        <v>217</v>
      </c>
      <c r="N160" s="106" t="s">
        <v>517</v>
      </c>
      <c r="O160" s="106" t="s">
        <v>511</v>
      </c>
      <c r="P160" s="106" t="s">
        <v>512</v>
      </c>
      <c r="Q160" s="42" t="s">
        <v>543</v>
      </c>
      <c r="R160" s="42" t="s">
        <v>523</v>
      </c>
      <c r="S160" s="42" t="s">
        <v>321</v>
      </c>
      <c r="T160" s="38" t="s">
        <v>317</v>
      </c>
      <c r="U160" s="43" t="s">
        <v>341</v>
      </c>
      <c r="V160" s="42"/>
      <c r="W160" s="42" t="s">
        <v>354</v>
      </c>
      <c r="X160" s="8" t="s">
        <v>242</v>
      </c>
    </row>
    <row r="161" spans="3:25" x14ac:dyDescent="0.3">
      <c r="C161" s="22">
        <v>1</v>
      </c>
      <c r="D161" s="14" t="s">
        <v>41</v>
      </c>
      <c r="E161" s="14">
        <v>80</v>
      </c>
      <c r="F161" s="14" t="s">
        <v>218</v>
      </c>
      <c r="G161" s="14"/>
      <c r="H161" s="14" t="s">
        <v>219</v>
      </c>
      <c r="I161" s="14" t="s">
        <v>42</v>
      </c>
      <c r="J161" s="14" t="s">
        <v>43</v>
      </c>
      <c r="K161" s="14">
        <v>2017</v>
      </c>
      <c r="L161" s="14">
        <v>60007946</v>
      </c>
      <c r="M161" s="14" t="s">
        <v>220</v>
      </c>
      <c r="N161" s="118" t="s">
        <v>430</v>
      </c>
      <c r="O161" s="118" t="s">
        <v>513</v>
      </c>
      <c r="P161" s="120">
        <v>80</v>
      </c>
      <c r="Q161" s="124" t="s">
        <v>423</v>
      </c>
      <c r="R161" s="45"/>
      <c r="S161" s="45"/>
      <c r="T161" s="27" t="s">
        <v>315</v>
      </c>
      <c r="U161" s="27"/>
      <c r="V161" s="27"/>
      <c r="W161" s="45"/>
      <c r="X161" s="9"/>
    </row>
    <row r="162" spans="3:25" x14ac:dyDescent="0.3">
      <c r="C162" s="22">
        <v>2</v>
      </c>
      <c r="D162" s="14" t="s">
        <v>54</v>
      </c>
      <c r="E162" s="14">
        <v>28.33</v>
      </c>
      <c r="F162" s="14" t="s">
        <v>218</v>
      </c>
      <c r="G162" s="14"/>
      <c r="H162" s="14" t="s">
        <v>221</v>
      </c>
      <c r="I162" s="14" t="s">
        <v>42</v>
      </c>
      <c r="J162" s="14" t="s">
        <v>43</v>
      </c>
      <c r="K162" s="14">
        <v>2017</v>
      </c>
      <c r="L162" s="14">
        <v>60007942</v>
      </c>
      <c r="M162" s="14" t="s">
        <v>55</v>
      </c>
      <c r="N162" s="118" t="s">
        <v>430</v>
      </c>
      <c r="O162" s="118" t="s">
        <v>513</v>
      </c>
      <c r="P162" s="120">
        <v>85</v>
      </c>
      <c r="Q162" s="93" t="s">
        <v>446</v>
      </c>
      <c r="R162" s="88"/>
      <c r="S162" s="88"/>
      <c r="T162" s="27" t="s">
        <v>336</v>
      </c>
      <c r="U162" s="27"/>
      <c r="V162" s="27"/>
      <c r="W162" s="45"/>
      <c r="X162" s="152"/>
      <c r="Y162" s="79" t="s">
        <v>278</v>
      </c>
    </row>
    <row r="163" spans="3:25" x14ac:dyDescent="0.3">
      <c r="C163" s="22">
        <v>3</v>
      </c>
      <c r="D163" s="14" t="s">
        <v>47</v>
      </c>
      <c r="E163" s="14">
        <v>40</v>
      </c>
      <c r="F163" s="14" t="s">
        <v>218</v>
      </c>
      <c r="G163" s="14"/>
      <c r="H163" s="14" t="s">
        <v>48</v>
      </c>
      <c r="I163" s="14" t="s">
        <v>49</v>
      </c>
      <c r="J163" s="14" t="s">
        <v>50</v>
      </c>
      <c r="K163" s="14">
        <v>1998</v>
      </c>
      <c r="L163" s="14">
        <v>60000004</v>
      </c>
      <c r="M163" s="14" t="s">
        <v>53</v>
      </c>
      <c r="N163" s="115" t="s">
        <v>431</v>
      </c>
      <c r="O163" s="115" t="s">
        <v>513</v>
      </c>
      <c r="P163" s="116">
        <v>40</v>
      </c>
      <c r="Q163" s="114" t="s">
        <v>468</v>
      </c>
      <c r="R163" s="94" t="s">
        <v>468</v>
      </c>
      <c r="S163" s="115" t="s">
        <v>542</v>
      </c>
      <c r="T163" s="27" t="s">
        <v>335</v>
      </c>
      <c r="U163" s="27"/>
      <c r="V163" s="27"/>
      <c r="W163" s="45"/>
      <c r="X163" s="130" t="s">
        <v>587</v>
      </c>
      <c r="Y163" s="79" t="s">
        <v>305</v>
      </c>
    </row>
    <row r="164" spans="3:25" x14ac:dyDescent="0.3">
      <c r="C164" s="22">
        <v>4</v>
      </c>
      <c r="D164" s="14" t="s">
        <v>2</v>
      </c>
      <c r="E164" s="14">
        <v>40</v>
      </c>
      <c r="F164" s="14" t="s">
        <v>218</v>
      </c>
      <c r="G164" s="14"/>
      <c r="H164" s="14" t="s">
        <v>222</v>
      </c>
      <c r="I164" s="14" t="s">
        <v>42</v>
      </c>
      <c r="J164" s="14" t="s">
        <v>74</v>
      </c>
      <c r="K164" s="14">
        <v>1976</v>
      </c>
      <c r="L164" s="14" t="s">
        <v>224</v>
      </c>
      <c r="M164" s="14" t="s">
        <v>369</v>
      </c>
      <c r="N164" s="95" t="s">
        <v>432</v>
      </c>
      <c r="O164" s="14"/>
      <c r="P164" s="14"/>
      <c r="Q164" s="94" t="s">
        <v>428</v>
      </c>
      <c r="R164" s="88"/>
      <c r="S164" s="88"/>
      <c r="T164" s="27" t="s">
        <v>318</v>
      </c>
      <c r="U164" s="27"/>
      <c r="V164" s="27"/>
      <c r="W164" s="45"/>
      <c r="X164" s="9"/>
    </row>
    <row r="165" spans="3:25" x14ac:dyDescent="0.3">
      <c r="C165" s="22">
        <v>5</v>
      </c>
      <c r="D165" s="14" t="s">
        <v>2</v>
      </c>
      <c r="E165" s="14">
        <v>60</v>
      </c>
      <c r="F165" s="14" t="s">
        <v>218</v>
      </c>
      <c r="G165" s="14"/>
      <c r="H165" s="14" t="s">
        <v>225</v>
      </c>
      <c r="I165" s="14" t="s">
        <v>42</v>
      </c>
      <c r="J165" s="14" t="s">
        <v>43</v>
      </c>
      <c r="K165" s="14">
        <v>2008</v>
      </c>
      <c r="L165" s="14">
        <v>60003765</v>
      </c>
      <c r="M165" s="14" t="s">
        <v>226</v>
      </c>
      <c r="N165" s="118" t="s">
        <v>430</v>
      </c>
      <c r="O165" s="118" t="s">
        <v>513</v>
      </c>
      <c r="P165" s="120">
        <v>180</v>
      </c>
      <c r="Q165" s="93" t="s">
        <v>428</v>
      </c>
      <c r="R165" s="88"/>
      <c r="S165" s="88"/>
      <c r="T165" s="27" t="s">
        <v>315</v>
      </c>
      <c r="U165" s="27"/>
      <c r="V165" s="27"/>
      <c r="W165" s="45"/>
      <c r="X165" s="9"/>
    </row>
    <row r="166" spans="3:25" x14ac:dyDescent="0.3">
      <c r="C166" s="22">
        <v>6</v>
      </c>
      <c r="D166" s="14" t="s">
        <v>227</v>
      </c>
      <c r="E166" s="14">
        <v>40</v>
      </c>
      <c r="F166" s="14" t="s">
        <v>218</v>
      </c>
      <c r="G166" s="14"/>
      <c r="H166" s="14" t="s">
        <v>222</v>
      </c>
      <c r="I166" s="14" t="s">
        <v>42</v>
      </c>
      <c r="J166" s="14" t="s">
        <v>56</v>
      </c>
      <c r="K166" s="14">
        <v>1977</v>
      </c>
      <c r="L166" s="14" t="s">
        <v>228</v>
      </c>
      <c r="M166" s="14" t="s">
        <v>229</v>
      </c>
      <c r="N166" s="95" t="s">
        <v>432</v>
      </c>
      <c r="O166" s="14"/>
      <c r="P166" s="14"/>
      <c r="Q166" s="114" t="s">
        <v>547</v>
      </c>
      <c r="R166" s="88"/>
      <c r="S166" s="88"/>
      <c r="T166" s="27" t="s">
        <v>315</v>
      </c>
      <c r="U166" s="27"/>
      <c r="V166" s="27"/>
      <c r="W166" s="45"/>
      <c r="X166" s="9"/>
    </row>
    <row r="167" spans="3:25" x14ac:dyDescent="0.3">
      <c r="C167" s="22">
        <v>7</v>
      </c>
      <c r="D167" s="14" t="s">
        <v>230</v>
      </c>
      <c r="E167" s="14">
        <v>80</v>
      </c>
      <c r="F167" s="14" t="s">
        <v>218</v>
      </c>
      <c r="G167" s="14"/>
      <c r="H167" s="14" t="s">
        <v>231</v>
      </c>
      <c r="I167" s="14" t="s">
        <v>42</v>
      </c>
      <c r="J167" s="14" t="s">
        <v>43</v>
      </c>
      <c r="K167" s="14">
        <v>2013</v>
      </c>
      <c r="L167" s="14">
        <v>60005712</v>
      </c>
      <c r="M167" s="14" t="s">
        <v>232</v>
      </c>
      <c r="N167" s="118" t="s">
        <v>430</v>
      </c>
      <c r="O167" s="118" t="s">
        <v>513</v>
      </c>
      <c r="P167" s="120">
        <v>80</v>
      </c>
      <c r="Q167" s="125" t="s">
        <v>478</v>
      </c>
      <c r="R167" s="45"/>
      <c r="S167" s="45"/>
      <c r="T167" s="27" t="s">
        <v>318</v>
      </c>
      <c r="U167" s="27"/>
      <c r="V167" s="27"/>
      <c r="W167" s="45"/>
      <c r="X167" s="9"/>
      <c r="Y167" s="79" t="s">
        <v>304</v>
      </c>
    </row>
    <row r="168" spans="3:25" x14ac:dyDescent="0.3">
      <c r="C168" s="22">
        <v>8</v>
      </c>
      <c r="D168" s="14" t="s">
        <v>81</v>
      </c>
      <c r="E168" s="14">
        <v>80</v>
      </c>
      <c r="F168" s="14" t="s">
        <v>218</v>
      </c>
      <c r="G168" s="14"/>
      <c r="H168" s="14" t="s">
        <v>231</v>
      </c>
      <c r="I168" s="14" t="s">
        <v>82</v>
      </c>
      <c r="J168" s="14" t="s">
        <v>43</v>
      </c>
      <c r="K168" s="14">
        <v>2020</v>
      </c>
      <c r="L168" s="14">
        <v>60008799</v>
      </c>
      <c r="M168" s="14" t="s">
        <v>233</v>
      </c>
      <c r="N168" s="118" t="s">
        <v>430</v>
      </c>
      <c r="O168" s="118" t="s">
        <v>513</v>
      </c>
      <c r="P168" s="120">
        <v>80</v>
      </c>
      <c r="Q168" s="93" t="s">
        <v>434</v>
      </c>
      <c r="R168" s="88"/>
      <c r="S168" s="88"/>
      <c r="T168" s="27" t="s">
        <v>315</v>
      </c>
      <c r="U168" s="27"/>
      <c r="V168" s="27"/>
      <c r="W168" s="45"/>
      <c r="X168" s="9"/>
    </row>
    <row r="169" spans="3:25" x14ac:dyDescent="0.3">
      <c r="C169" s="22">
        <v>9</v>
      </c>
      <c r="D169" s="14" t="s">
        <v>4</v>
      </c>
      <c r="E169" s="14">
        <v>60</v>
      </c>
      <c r="F169" s="14" t="s">
        <v>218</v>
      </c>
      <c r="G169" s="14"/>
      <c r="H169" s="14" t="s">
        <v>225</v>
      </c>
      <c r="I169" s="14" t="s">
        <v>42</v>
      </c>
      <c r="J169" s="14" t="s">
        <v>43</v>
      </c>
      <c r="K169" s="14">
        <v>2017</v>
      </c>
      <c r="L169" s="14">
        <v>60007943</v>
      </c>
      <c r="M169" s="14" t="s">
        <v>234</v>
      </c>
      <c r="N169" s="118" t="s">
        <v>430</v>
      </c>
      <c r="O169" s="118" t="s">
        <v>513</v>
      </c>
      <c r="P169" s="120">
        <v>60</v>
      </c>
      <c r="Q169" s="124" t="s">
        <v>424</v>
      </c>
      <c r="R169" s="45"/>
      <c r="S169" s="45"/>
      <c r="T169" s="27" t="s">
        <v>315</v>
      </c>
      <c r="U169" s="27"/>
      <c r="V169" s="27"/>
      <c r="W169" s="45"/>
      <c r="X169" s="9"/>
    </row>
    <row r="170" spans="3:25" x14ac:dyDescent="0.3">
      <c r="C170" s="22">
        <v>10</v>
      </c>
      <c r="D170" s="14" t="s">
        <v>70</v>
      </c>
      <c r="E170" s="14">
        <v>80</v>
      </c>
      <c r="F170" s="14" t="s">
        <v>218</v>
      </c>
      <c r="G170" s="14"/>
      <c r="H170" s="14" t="s">
        <v>235</v>
      </c>
      <c r="I170" s="14" t="s">
        <v>90</v>
      </c>
      <c r="J170" s="14" t="s">
        <v>43</v>
      </c>
      <c r="K170" s="14">
        <v>2017</v>
      </c>
      <c r="L170" s="14">
        <v>60007945</v>
      </c>
      <c r="M170" s="14" t="s">
        <v>236</v>
      </c>
      <c r="N170" s="118" t="s">
        <v>430</v>
      </c>
      <c r="O170" s="118" t="s">
        <v>513</v>
      </c>
      <c r="P170" s="120">
        <v>240</v>
      </c>
      <c r="Q170" s="124" t="s">
        <v>425</v>
      </c>
      <c r="R170" s="45"/>
      <c r="S170" s="45"/>
      <c r="T170" s="27" t="s">
        <v>315</v>
      </c>
      <c r="U170" s="27"/>
      <c r="V170" s="27"/>
      <c r="W170" s="45"/>
      <c r="X170" s="9"/>
    </row>
    <row r="171" spans="3:25" x14ac:dyDescent="0.3">
      <c r="C171" s="22">
        <v>11</v>
      </c>
      <c r="D171" s="14" t="s">
        <v>89</v>
      </c>
      <c r="E171" s="14">
        <v>80</v>
      </c>
      <c r="F171" s="14" t="s">
        <v>218</v>
      </c>
      <c r="G171" s="14"/>
      <c r="H171" s="14" t="s">
        <v>235</v>
      </c>
      <c r="I171" s="14" t="s">
        <v>42</v>
      </c>
      <c r="J171" s="14" t="s">
        <v>91</v>
      </c>
      <c r="K171" s="14">
        <v>2018</v>
      </c>
      <c r="L171" s="14">
        <v>60008375</v>
      </c>
      <c r="M171" s="14" t="s">
        <v>239</v>
      </c>
      <c r="N171" s="118" t="s">
        <v>430</v>
      </c>
      <c r="O171" s="118" t="s">
        <v>513</v>
      </c>
      <c r="P171" s="120">
        <v>80</v>
      </c>
      <c r="Q171" s="124" t="s">
        <v>421</v>
      </c>
      <c r="R171" s="45"/>
      <c r="S171" s="45"/>
      <c r="T171" s="27" t="s">
        <v>315</v>
      </c>
      <c r="U171" s="27"/>
      <c r="V171" s="27"/>
      <c r="W171" s="45"/>
      <c r="X171" s="9"/>
    </row>
    <row r="172" spans="3:25" x14ac:dyDescent="0.3">
      <c r="C172" s="22">
        <v>12</v>
      </c>
      <c r="D172" s="14" t="s">
        <v>0</v>
      </c>
      <c r="E172" s="14">
        <v>40</v>
      </c>
      <c r="F172" s="14" t="s">
        <v>218</v>
      </c>
      <c r="G172" s="14"/>
      <c r="H172" s="14" t="s">
        <v>222</v>
      </c>
      <c r="I172" s="14" t="s">
        <v>49</v>
      </c>
      <c r="J172" s="14" t="s">
        <v>50</v>
      </c>
      <c r="K172" s="14">
        <v>1998</v>
      </c>
      <c r="L172" s="14">
        <v>60000002</v>
      </c>
      <c r="M172" s="14" t="s">
        <v>240</v>
      </c>
      <c r="N172" s="115" t="s">
        <v>431</v>
      </c>
      <c r="O172" s="115" t="s">
        <v>513</v>
      </c>
      <c r="P172" s="116">
        <v>40</v>
      </c>
      <c r="Q172" s="114" t="s">
        <v>469</v>
      </c>
      <c r="R172" s="94" t="s">
        <v>469</v>
      </c>
      <c r="S172" s="115" t="s">
        <v>542</v>
      </c>
      <c r="T172" s="27" t="s">
        <v>318</v>
      </c>
      <c r="U172" s="27"/>
      <c r="V172" s="27"/>
      <c r="W172" s="45"/>
      <c r="X172" s="130" t="s">
        <v>588</v>
      </c>
      <c r="Y172" s="79" t="s">
        <v>305</v>
      </c>
    </row>
    <row r="173" spans="3:25" x14ac:dyDescent="0.3">
      <c r="C173" s="53"/>
      <c r="D173" s="53"/>
      <c r="E173" s="66">
        <f>SUM(E161:E172)</f>
        <v>708.32999999999993</v>
      </c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90"/>
      <c r="R173" s="90"/>
      <c r="S173" s="90"/>
      <c r="T173" s="53"/>
      <c r="X173" s="85"/>
    </row>
    <row r="174" spans="3:25" x14ac:dyDescent="0.3"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110"/>
      <c r="Q174" s="90"/>
      <c r="R174" s="90"/>
      <c r="S174" s="90"/>
      <c r="T174" s="62"/>
      <c r="X174" s="85"/>
    </row>
    <row r="177" spans="1:28" ht="5.25" customHeight="1" x14ac:dyDescent="0.3">
      <c r="C177" s="7"/>
      <c r="D177" s="63"/>
      <c r="E177" s="63"/>
      <c r="F177" s="63"/>
      <c r="G177" s="63"/>
      <c r="H177" s="63"/>
      <c r="I177" s="26"/>
      <c r="J177" s="26"/>
      <c r="K177" s="26"/>
      <c r="L177" s="26"/>
      <c r="M177" s="26"/>
      <c r="N177" s="26"/>
      <c r="O177" s="26"/>
      <c r="P177" s="26"/>
      <c r="T177" s="26"/>
    </row>
    <row r="178" spans="1:28" ht="33" x14ac:dyDescent="0.3">
      <c r="C178" s="64" t="s">
        <v>31</v>
      </c>
      <c r="D178" s="40" t="s">
        <v>32</v>
      </c>
      <c r="E178" s="40" t="s">
        <v>33</v>
      </c>
      <c r="F178" s="40" t="s">
        <v>34</v>
      </c>
      <c r="G178" s="41" t="s">
        <v>356</v>
      </c>
      <c r="H178" s="40" t="s">
        <v>35</v>
      </c>
      <c r="I178" s="65" t="s">
        <v>36</v>
      </c>
      <c r="J178" s="40" t="s">
        <v>37</v>
      </c>
      <c r="K178" s="65" t="s">
        <v>38</v>
      </c>
      <c r="L178" s="40" t="s">
        <v>216</v>
      </c>
      <c r="M178" s="60" t="s">
        <v>217</v>
      </c>
      <c r="N178" s="106" t="s">
        <v>517</v>
      </c>
      <c r="O178" s="106" t="s">
        <v>511</v>
      </c>
      <c r="P178" s="106" t="s">
        <v>512</v>
      </c>
      <c r="Q178" s="42" t="s">
        <v>415</v>
      </c>
      <c r="R178" s="42" t="s">
        <v>523</v>
      </c>
      <c r="S178" s="42" t="s">
        <v>321</v>
      </c>
      <c r="T178" s="38" t="s">
        <v>317</v>
      </c>
      <c r="U178" s="43" t="s">
        <v>341</v>
      </c>
      <c r="V178" s="42"/>
      <c r="W178" s="42" t="s">
        <v>354</v>
      </c>
      <c r="X178" s="8" t="s">
        <v>242</v>
      </c>
    </row>
    <row r="179" spans="1:28" x14ac:dyDescent="0.3">
      <c r="C179" s="22">
        <v>1</v>
      </c>
      <c r="D179" s="14" t="s">
        <v>89</v>
      </c>
      <c r="E179" s="14">
        <v>50</v>
      </c>
      <c r="F179" s="14" t="s">
        <v>218</v>
      </c>
      <c r="G179" s="14"/>
      <c r="H179" s="14">
        <v>50</v>
      </c>
      <c r="I179" s="14" t="s">
        <v>237</v>
      </c>
      <c r="J179" s="14" t="s">
        <v>91</v>
      </c>
      <c r="K179" s="14">
        <v>2018</v>
      </c>
      <c r="L179" s="14">
        <v>60008053</v>
      </c>
      <c r="M179" s="14" t="s">
        <v>238</v>
      </c>
      <c r="N179" s="118" t="s">
        <v>430</v>
      </c>
      <c r="O179" s="119" t="s">
        <v>515</v>
      </c>
      <c r="P179" s="120">
        <v>50</v>
      </c>
      <c r="Q179" s="93" t="s">
        <v>421</v>
      </c>
      <c r="R179" s="88"/>
      <c r="S179" s="88"/>
      <c r="T179" s="67" t="s">
        <v>218</v>
      </c>
      <c r="U179" s="27"/>
      <c r="V179" s="27"/>
      <c r="W179" s="45"/>
      <c r="X179" s="9"/>
    </row>
    <row r="180" spans="1:28" x14ac:dyDescent="0.3">
      <c r="C180" s="22">
        <v>2</v>
      </c>
      <c r="D180" s="14" t="s">
        <v>103</v>
      </c>
      <c r="E180" s="14">
        <v>50</v>
      </c>
      <c r="F180" s="14" t="s">
        <v>218</v>
      </c>
      <c r="G180" s="14"/>
      <c r="H180" s="14">
        <v>50</v>
      </c>
      <c r="I180" s="14" t="s">
        <v>104</v>
      </c>
      <c r="J180" s="14" t="s">
        <v>91</v>
      </c>
      <c r="K180" s="14">
        <v>2019</v>
      </c>
      <c r="L180" s="14">
        <v>60008524</v>
      </c>
      <c r="M180" s="14" t="s">
        <v>241</v>
      </c>
      <c r="N180" s="118" t="s">
        <v>430</v>
      </c>
      <c r="O180" s="119" t="s">
        <v>514</v>
      </c>
      <c r="P180" s="120">
        <v>50</v>
      </c>
      <c r="Q180" s="93" t="s">
        <v>422</v>
      </c>
      <c r="R180" s="88"/>
      <c r="S180" s="88"/>
      <c r="T180" s="67" t="s">
        <v>218</v>
      </c>
      <c r="U180" s="27"/>
      <c r="V180" s="27"/>
      <c r="W180" s="45"/>
      <c r="X180" s="9"/>
    </row>
    <row r="181" spans="1:28" x14ac:dyDescent="0.3">
      <c r="C181" s="68"/>
      <c r="D181" s="68"/>
      <c r="E181" s="48">
        <f>SUM(E179:E180)</f>
        <v>100</v>
      </c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111"/>
      <c r="Q181" s="31"/>
      <c r="R181" s="31"/>
      <c r="S181" s="31"/>
      <c r="T181" s="68"/>
    </row>
    <row r="184" spans="1:28" ht="20.25" x14ac:dyDescent="0.3">
      <c r="C184" s="73" t="s">
        <v>405</v>
      </c>
    </row>
    <row r="185" spans="1:28" ht="5.25" customHeight="1" x14ac:dyDescent="0.3">
      <c r="C185" s="33"/>
      <c r="D185" s="47"/>
      <c r="E185" s="47"/>
      <c r="F185" s="47"/>
      <c r="G185" s="47"/>
      <c r="H185" s="47"/>
      <c r="I185" s="36"/>
      <c r="J185" s="47"/>
      <c r="K185" s="47"/>
      <c r="L185" s="47"/>
      <c r="M185" s="52"/>
      <c r="N185" s="52"/>
      <c r="O185" s="52"/>
      <c r="P185" s="52"/>
    </row>
    <row r="186" spans="1:28" ht="33" x14ac:dyDescent="0.3">
      <c r="C186" s="64" t="s">
        <v>31</v>
      </c>
      <c r="D186" s="40" t="s">
        <v>32</v>
      </c>
      <c r="E186" s="40" t="s">
        <v>33</v>
      </c>
      <c r="F186" s="40" t="s">
        <v>34</v>
      </c>
      <c r="G186" s="41"/>
      <c r="H186" s="40" t="s">
        <v>35</v>
      </c>
      <c r="I186" s="65" t="s">
        <v>36</v>
      </c>
      <c r="J186" s="40" t="s">
        <v>37</v>
      </c>
      <c r="K186" s="65" t="s">
        <v>38</v>
      </c>
      <c r="L186" s="40" t="s">
        <v>216</v>
      </c>
      <c r="M186" s="60" t="s">
        <v>217</v>
      </c>
      <c r="N186" s="106" t="s">
        <v>517</v>
      </c>
      <c r="O186" s="106" t="s">
        <v>511</v>
      </c>
      <c r="P186" s="106" t="s">
        <v>512</v>
      </c>
      <c r="Q186" s="42" t="s">
        <v>543</v>
      </c>
      <c r="R186" s="42" t="s">
        <v>523</v>
      </c>
      <c r="S186" s="42" t="s">
        <v>321</v>
      </c>
      <c r="T186" s="40" t="s">
        <v>317</v>
      </c>
      <c r="U186" s="43" t="s">
        <v>341</v>
      </c>
      <c r="V186" s="42"/>
      <c r="W186" s="42" t="s">
        <v>354</v>
      </c>
      <c r="X186" s="8" t="s">
        <v>242</v>
      </c>
    </row>
    <row r="187" spans="1:28" x14ac:dyDescent="0.3">
      <c r="C187" s="22">
        <v>1</v>
      </c>
      <c r="D187" s="14" t="s">
        <v>54</v>
      </c>
      <c r="E187" s="14">
        <v>17.2</v>
      </c>
      <c r="F187" s="14" t="s">
        <v>218</v>
      </c>
      <c r="G187" s="14"/>
      <c r="H187" s="14" t="s">
        <v>135</v>
      </c>
      <c r="I187" s="14" t="s">
        <v>269</v>
      </c>
      <c r="J187" s="14" t="s">
        <v>167</v>
      </c>
      <c r="K187" s="14">
        <v>1982</v>
      </c>
      <c r="L187" s="14" t="s">
        <v>258</v>
      </c>
      <c r="M187" s="14" t="s">
        <v>259</v>
      </c>
      <c r="N187" s="94" t="s">
        <v>431</v>
      </c>
      <c r="O187" s="94" t="s">
        <v>327</v>
      </c>
      <c r="P187" s="108">
        <v>17.2</v>
      </c>
      <c r="Q187" s="92" t="s">
        <v>545</v>
      </c>
      <c r="R187" s="45"/>
      <c r="S187" s="45"/>
      <c r="T187" s="27"/>
      <c r="U187" s="27"/>
      <c r="V187" s="27"/>
      <c r="W187" s="45"/>
      <c r="X187" s="129" t="s">
        <v>218</v>
      </c>
      <c r="Y187" s="85"/>
      <c r="Z187" s="85"/>
      <c r="AA187" s="85"/>
      <c r="AB187" s="85"/>
    </row>
    <row r="188" spans="1:28" x14ac:dyDescent="0.3">
      <c r="C188" s="22">
        <v>2</v>
      </c>
      <c r="D188" s="14" t="s">
        <v>6</v>
      </c>
      <c r="E188" s="14">
        <v>8.75</v>
      </c>
      <c r="F188" s="14" t="s">
        <v>218</v>
      </c>
      <c r="G188" s="14"/>
      <c r="H188" s="14" t="s">
        <v>262</v>
      </c>
      <c r="I188" s="14" t="s">
        <v>192</v>
      </c>
      <c r="J188" s="14" t="s">
        <v>167</v>
      </c>
      <c r="K188" s="14">
        <v>1970</v>
      </c>
      <c r="L188" s="14">
        <v>500082</v>
      </c>
      <c r="M188" s="14" t="s">
        <v>263</v>
      </c>
      <c r="N188" s="96" t="s">
        <v>432</v>
      </c>
      <c r="O188" s="14"/>
      <c r="P188" s="14"/>
      <c r="Q188" s="92" t="s">
        <v>435</v>
      </c>
      <c r="R188" s="45"/>
      <c r="S188" s="45"/>
      <c r="T188" s="27"/>
      <c r="U188" s="27"/>
      <c r="V188" s="27"/>
      <c r="W188" s="45"/>
      <c r="X188" s="9"/>
      <c r="Y188" s="85"/>
      <c r="Z188" s="85"/>
      <c r="AA188" s="85"/>
      <c r="AB188" s="85"/>
    </row>
    <row r="189" spans="1:28" x14ac:dyDescent="0.3">
      <c r="C189" s="22">
        <v>3</v>
      </c>
      <c r="D189" s="14" t="s">
        <v>227</v>
      </c>
      <c r="E189" s="14">
        <v>8.75</v>
      </c>
      <c r="F189" s="14" t="s">
        <v>218</v>
      </c>
      <c r="G189" s="14"/>
      <c r="H189" s="14" t="s">
        <v>262</v>
      </c>
      <c r="I189" s="14" t="s">
        <v>192</v>
      </c>
      <c r="J189" s="14" t="s">
        <v>167</v>
      </c>
      <c r="K189" s="14">
        <v>1970</v>
      </c>
      <c r="L189" s="14">
        <v>500083</v>
      </c>
      <c r="M189" s="14" t="s">
        <v>261</v>
      </c>
      <c r="N189" s="96" t="s">
        <v>432</v>
      </c>
      <c r="O189" s="14"/>
      <c r="P189" s="14"/>
      <c r="Q189" s="92" t="s">
        <v>420</v>
      </c>
      <c r="R189" s="45"/>
      <c r="S189" s="45"/>
      <c r="T189" s="27"/>
      <c r="U189" s="27"/>
      <c r="V189" s="27"/>
      <c r="W189" s="45"/>
      <c r="X189" s="9"/>
      <c r="Y189" s="85"/>
      <c r="Z189" s="85"/>
      <c r="AA189" s="85"/>
      <c r="AB189" s="85"/>
    </row>
    <row r="190" spans="1:28" x14ac:dyDescent="0.3">
      <c r="C190" s="22">
        <v>4</v>
      </c>
      <c r="D190" s="14" t="s">
        <v>8</v>
      </c>
      <c r="E190" s="14">
        <v>7</v>
      </c>
      <c r="F190" s="14" t="s">
        <v>218</v>
      </c>
      <c r="G190" s="14"/>
      <c r="H190" s="14" t="s">
        <v>253</v>
      </c>
      <c r="I190" s="14" t="s">
        <v>192</v>
      </c>
      <c r="J190" s="14" t="s">
        <v>167</v>
      </c>
      <c r="K190" s="14">
        <v>1983</v>
      </c>
      <c r="L190" s="14">
        <v>500075</v>
      </c>
      <c r="M190" s="14" t="s">
        <v>252</v>
      </c>
      <c r="N190" s="96" t="s">
        <v>432</v>
      </c>
      <c r="O190" s="14"/>
      <c r="P190" s="14"/>
      <c r="Q190" s="126" t="s">
        <v>548</v>
      </c>
      <c r="R190" s="45"/>
      <c r="S190" s="45"/>
      <c r="T190" s="27"/>
      <c r="U190" s="27"/>
      <c r="V190" s="27"/>
      <c r="W190" s="45"/>
      <c r="X190" s="9"/>
      <c r="Y190" s="85"/>
      <c r="Z190" s="85"/>
      <c r="AA190" s="85"/>
      <c r="AB190" s="85"/>
    </row>
    <row r="191" spans="1:28" x14ac:dyDescent="0.3">
      <c r="C191" s="22">
        <v>5</v>
      </c>
      <c r="D191" s="14" t="s">
        <v>20</v>
      </c>
      <c r="E191" s="14">
        <v>17.2</v>
      </c>
      <c r="F191" s="14" t="s">
        <v>218</v>
      </c>
      <c r="G191" s="14"/>
      <c r="H191" s="14" t="s">
        <v>135</v>
      </c>
      <c r="I191" s="14" t="s">
        <v>269</v>
      </c>
      <c r="J191" s="14" t="s">
        <v>167</v>
      </c>
      <c r="K191" s="14">
        <v>1982</v>
      </c>
      <c r="L191" s="14">
        <v>500066</v>
      </c>
      <c r="M191" s="14" t="s">
        <v>260</v>
      </c>
      <c r="N191" s="94" t="s">
        <v>431</v>
      </c>
      <c r="O191" s="94" t="s">
        <v>327</v>
      </c>
      <c r="P191" s="108">
        <v>17.2</v>
      </c>
      <c r="Q191" s="126" t="s">
        <v>549</v>
      </c>
      <c r="R191" s="45"/>
      <c r="S191" s="45"/>
      <c r="T191" s="27" t="s">
        <v>319</v>
      </c>
      <c r="U191" s="27"/>
      <c r="V191" s="27"/>
      <c r="W191" s="45"/>
      <c r="X191" s="129" t="s">
        <v>218</v>
      </c>
      <c r="Y191" s="85"/>
      <c r="Z191" s="85"/>
      <c r="AA191" s="85"/>
      <c r="AB191" s="85"/>
    </row>
    <row r="192" spans="1:28" s="84" customFormat="1" x14ac:dyDescent="0.3">
      <c r="A192" s="24"/>
      <c r="B192" s="24"/>
      <c r="C192" s="22">
        <v>6</v>
      </c>
      <c r="D192" s="14" t="s">
        <v>6</v>
      </c>
      <c r="E192" s="14">
        <v>25</v>
      </c>
      <c r="F192" s="14" t="s">
        <v>218</v>
      </c>
      <c r="G192" s="14"/>
      <c r="H192" s="14" t="s">
        <v>163</v>
      </c>
      <c r="I192" s="14" t="s">
        <v>270</v>
      </c>
      <c r="J192" s="14" t="s">
        <v>50</v>
      </c>
      <c r="K192" s="14">
        <v>2005</v>
      </c>
      <c r="L192" s="14">
        <v>60002888</v>
      </c>
      <c r="M192" s="14" t="s">
        <v>244</v>
      </c>
      <c r="N192" s="94" t="s">
        <v>431</v>
      </c>
      <c r="O192" s="94" t="s">
        <v>328</v>
      </c>
      <c r="P192" s="108">
        <v>25</v>
      </c>
      <c r="Q192" s="115" t="s">
        <v>455</v>
      </c>
      <c r="R192" s="89"/>
      <c r="S192" s="89"/>
      <c r="T192" s="55"/>
      <c r="U192" s="56"/>
      <c r="V192" s="56"/>
      <c r="W192" s="70"/>
      <c r="X192" s="129" t="s">
        <v>218</v>
      </c>
      <c r="Y192" s="86"/>
      <c r="Z192" s="86"/>
      <c r="AA192" s="86"/>
      <c r="AB192" s="86"/>
    </row>
    <row r="193" spans="1:24" x14ac:dyDescent="0.3">
      <c r="B193" s="1"/>
      <c r="C193" s="22">
        <v>7</v>
      </c>
      <c r="D193" s="19" t="s">
        <v>21</v>
      </c>
      <c r="E193" s="17">
        <v>25</v>
      </c>
      <c r="F193" s="11" t="s">
        <v>218</v>
      </c>
      <c r="G193" s="14"/>
      <c r="H193" s="11" t="s">
        <v>163</v>
      </c>
      <c r="I193" s="17" t="s">
        <v>124</v>
      </c>
      <c r="J193" s="11" t="s">
        <v>119</v>
      </c>
      <c r="K193" s="17">
        <v>2002</v>
      </c>
      <c r="L193" s="11">
        <v>60001997</v>
      </c>
      <c r="M193" s="17" t="s">
        <v>254</v>
      </c>
      <c r="N193" s="94" t="s">
        <v>431</v>
      </c>
      <c r="O193" s="94" t="s">
        <v>328</v>
      </c>
      <c r="P193" s="108">
        <v>25</v>
      </c>
      <c r="Q193" s="92" t="s">
        <v>465</v>
      </c>
      <c r="R193" s="45"/>
      <c r="S193" s="45"/>
      <c r="T193" s="27" t="s">
        <v>364</v>
      </c>
      <c r="U193" s="27"/>
      <c r="V193" s="27"/>
      <c r="W193" s="45"/>
      <c r="X193" s="129" t="s">
        <v>218</v>
      </c>
    </row>
    <row r="194" spans="1:24" x14ac:dyDescent="0.3">
      <c r="B194" s="1"/>
      <c r="C194" s="22">
        <v>8</v>
      </c>
      <c r="D194" s="14" t="s">
        <v>24</v>
      </c>
      <c r="E194" s="14">
        <v>25</v>
      </c>
      <c r="F194" s="14" t="s">
        <v>218</v>
      </c>
      <c r="G194" s="14"/>
      <c r="H194" s="14">
        <v>25</v>
      </c>
      <c r="I194" s="14" t="s">
        <v>273</v>
      </c>
      <c r="J194" s="14" t="s">
        <v>257</v>
      </c>
      <c r="K194" s="14">
        <v>1965</v>
      </c>
      <c r="L194" s="14" t="s">
        <v>255</v>
      </c>
      <c r="M194" s="14" t="s">
        <v>256</v>
      </c>
      <c r="N194" s="94"/>
      <c r="O194" s="94"/>
      <c r="P194" s="108"/>
      <c r="Q194" s="92" t="s">
        <v>463</v>
      </c>
      <c r="R194" s="45"/>
      <c r="S194" s="45"/>
      <c r="T194" s="56" t="s">
        <v>363</v>
      </c>
      <c r="U194" s="27"/>
      <c r="V194" s="27"/>
      <c r="W194" s="45"/>
      <c r="X194" s="9"/>
    </row>
    <row r="195" spans="1:24" x14ac:dyDescent="0.3">
      <c r="B195" s="1"/>
      <c r="C195" s="22">
        <v>9</v>
      </c>
      <c r="D195" s="14" t="s">
        <v>25</v>
      </c>
      <c r="E195" s="14">
        <v>12.5</v>
      </c>
      <c r="F195" s="14" t="s">
        <v>218</v>
      </c>
      <c r="G195" s="14"/>
      <c r="H195" s="14" t="s">
        <v>247</v>
      </c>
      <c r="I195" s="14" t="s">
        <v>271</v>
      </c>
      <c r="J195" s="12" t="s">
        <v>275</v>
      </c>
      <c r="K195" s="18" t="s">
        <v>306</v>
      </c>
      <c r="L195" s="12" t="s">
        <v>245</v>
      </c>
      <c r="M195" s="18" t="s">
        <v>246</v>
      </c>
      <c r="N195" s="94" t="s">
        <v>431</v>
      </c>
      <c r="O195" s="94" t="s">
        <v>327</v>
      </c>
      <c r="P195" s="108">
        <v>12.5</v>
      </c>
      <c r="Q195" s="92" t="s">
        <v>437</v>
      </c>
      <c r="R195" s="45"/>
      <c r="S195" s="45"/>
      <c r="T195" s="27" t="s">
        <v>315</v>
      </c>
      <c r="U195" s="27"/>
      <c r="V195" s="27"/>
      <c r="W195" s="45"/>
      <c r="X195" s="129" t="s">
        <v>218</v>
      </c>
    </row>
    <row r="196" spans="1:24" x14ac:dyDescent="0.3">
      <c r="B196" s="1"/>
      <c r="C196" s="22">
        <v>10</v>
      </c>
      <c r="D196" s="14" t="s">
        <v>4</v>
      </c>
      <c r="E196" s="14">
        <v>50</v>
      </c>
      <c r="F196" s="14" t="s">
        <v>218</v>
      </c>
      <c r="G196" s="14"/>
      <c r="H196" s="14" t="s">
        <v>113</v>
      </c>
      <c r="I196" s="14" t="s">
        <v>112</v>
      </c>
      <c r="J196" s="14" t="s">
        <v>43</v>
      </c>
      <c r="K196" s="14">
        <v>2013</v>
      </c>
      <c r="L196" s="14">
        <v>60005455</v>
      </c>
      <c r="M196" s="14">
        <v>364076</v>
      </c>
      <c r="N196" s="118" t="s">
        <v>430</v>
      </c>
      <c r="O196" s="119" t="s">
        <v>327</v>
      </c>
      <c r="P196" s="118">
        <v>50</v>
      </c>
      <c r="Q196" s="93" t="s">
        <v>518</v>
      </c>
      <c r="R196" s="93"/>
      <c r="S196" s="93"/>
      <c r="T196" s="14" t="s">
        <v>598</v>
      </c>
      <c r="U196" s="27" t="s">
        <v>351</v>
      </c>
      <c r="V196" s="27"/>
      <c r="W196" s="45"/>
      <c r="X196" s="130" t="s">
        <v>562</v>
      </c>
    </row>
    <row r="197" spans="1:24" x14ac:dyDescent="0.3">
      <c r="B197" s="1"/>
      <c r="C197" s="22">
        <v>11</v>
      </c>
      <c r="D197" s="14" t="s">
        <v>27</v>
      </c>
      <c r="E197" s="14">
        <v>25</v>
      </c>
      <c r="F197" s="14" t="s">
        <v>218</v>
      </c>
      <c r="G197" s="14"/>
      <c r="H197" s="13" t="s">
        <v>116</v>
      </c>
      <c r="I197" s="18" t="s">
        <v>166</v>
      </c>
      <c r="J197" s="12" t="s">
        <v>167</v>
      </c>
      <c r="K197" s="18">
        <v>1980</v>
      </c>
      <c r="L197" s="12" t="s">
        <v>201</v>
      </c>
      <c r="M197" s="18" t="s">
        <v>200</v>
      </c>
      <c r="N197" s="115"/>
      <c r="O197" s="115"/>
      <c r="P197" s="116"/>
      <c r="Q197" s="92" t="s">
        <v>418</v>
      </c>
      <c r="R197" s="45"/>
      <c r="S197" s="45"/>
      <c r="T197" s="56"/>
      <c r="U197" s="27"/>
      <c r="V197" s="27"/>
      <c r="W197" s="45"/>
      <c r="X197" s="9"/>
    </row>
    <row r="198" spans="1:24" x14ac:dyDescent="0.3">
      <c r="B198" s="1"/>
      <c r="C198" s="22">
        <v>12</v>
      </c>
      <c r="D198" s="14" t="s">
        <v>28</v>
      </c>
      <c r="E198" s="22">
        <v>25</v>
      </c>
      <c r="F198" s="14" t="s">
        <v>218</v>
      </c>
      <c r="G198" s="14"/>
      <c r="H198" s="14" t="s">
        <v>116</v>
      </c>
      <c r="I198" s="14" t="s">
        <v>166</v>
      </c>
      <c r="J198" s="14" t="s">
        <v>167</v>
      </c>
      <c r="K198" s="14">
        <v>1980</v>
      </c>
      <c r="L198" s="25" t="s">
        <v>205</v>
      </c>
      <c r="M198" s="25" t="s">
        <v>206</v>
      </c>
      <c r="N198" s="115" t="s">
        <v>431</v>
      </c>
      <c r="O198" s="115" t="s">
        <v>327</v>
      </c>
      <c r="P198" s="116">
        <v>25</v>
      </c>
      <c r="Q198" s="94" t="s">
        <v>533</v>
      </c>
      <c r="R198" s="94" t="s">
        <v>533</v>
      </c>
      <c r="S198" s="115" t="s">
        <v>524</v>
      </c>
      <c r="T198" s="22"/>
      <c r="U198" s="27"/>
      <c r="V198" s="27"/>
      <c r="W198" s="45"/>
      <c r="X198" s="129" t="s">
        <v>218</v>
      </c>
    </row>
    <row r="199" spans="1:24" x14ac:dyDescent="0.3"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112"/>
      <c r="T199" s="69"/>
      <c r="X199" s="82"/>
    </row>
    <row r="200" spans="1:24" x14ac:dyDescent="0.3">
      <c r="I200" s="11"/>
      <c r="X200" s="82"/>
    </row>
    <row r="201" spans="1:24" x14ac:dyDescent="0.3">
      <c r="X201" s="82"/>
    </row>
    <row r="202" spans="1:24" ht="13.7" customHeight="1" x14ac:dyDescent="0.3">
      <c r="C202" s="73" t="s">
        <v>284</v>
      </c>
      <c r="D202" s="47"/>
      <c r="E202" s="47"/>
      <c r="F202" s="47"/>
      <c r="G202" s="47"/>
      <c r="H202" s="47"/>
      <c r="I202" s="34" t="s">
        <v>333</v>
      </c>
      <c r="J202" s="47"/>
      <c r="K202" s="47"/>
      <c r="L202" s="47"/>
      <c r="M202" s="52"/>
      <c r="N202" s="52"/>
      <c r="O202" s="52"/>
      <c r="P202" s="52"/>
      <c r="X202" s="82"/>
    </row>
    <row r="203" spans="1:24" ht="7.5" customHeight="1" x14ac:dyDescent="0.3">
      <c r="C203" s="33"/>
      <c r="D203" s="47"/>
      <c r="E203" s="47"/>
      <c r="F203" s="47"/>
      <c r="G203" s="47"/>
      <c r="H203" s="47"/>
      <c r="I203" s="36"/>
      <c r="J203" s="47"/>
      <c r="K203" s="47"/>
      <c r="L203" s="47"/>
      <c r="M203" s="52"/>
      <c r="N203" s="52"/>
      <c r="O203" s="52"/>
      <c r="P203" s="52"/>
      <c r="X203" s="82"/>
    </row>
    <row r="204" spans="1:24" ht="33" x14ac:dyDescent="0.3">
      <c r="C204" s="37" t="s">
        <v>31</v>
      </c>
      <c r="D204" s="38" t="s">
        <v>32</v>
      </c>
      <c r="E204" s="38" t="s">
        <v>33</v>
      </c>
      <c r="F204" s="38" t="s">
        <v>34</v>
      </c>
      <c r="G204" s="49" t="s">
        <v>356</v>
      </c>
      <c r="H204" s="38" t="s">
        <v>35</v>
      </c>
      <c r="I204" s="39" t="s">
        <v>36</v>
      </c>
      <c r="J204" s="38" t="s">
        <v>37</v>
      </c>
      <c r="K204" s="39" t="s">
        <v>38</v>
      </c>
      <c r="L204" s="38" t="s">
        <v>216</v>
      </c>
      <c r="M204" s="50" t="s">
        <v>217</v>
      </c>
      <c r="N204" s="106" t="s">
        <v>517</v>
      </c>
      <c r="O204" s="106" t="s">
        <v>511</v>
      </c>
      <c r="P204" s="106" t="s">
        <v>512</v>
      </c>
      <c r="Q204" s="42" t="s">
        <v>543</v>
      </c>
      <c r="R204" s="42"/>
      <c r="S204" s="42"/>
      <c r="T204" s="38" t="s">
        <v>317</v>
      </c>
      <c r="U204" s="43" t="s">
        <v>341</v>
      </c>
      <c r="V204" s="42"/>
      <c r="W204" s="42" t="s">
        <v>354</v>
      </c>
      <c r="X204" s="8" t="s">
        <v>242</v>
      </c>
    </row>
    <row r="205" spans="1:24" x14ac:dyDescent="0.3">
      <c r="C205" s="22">
        <v>1</v>
      </c>
      <c r="D205" s="10" t="s">
        <v>267</v>
      </c>
      <c r="E205" s="16">
        <v>25</v>
      </c>
      <c r="F205" s="21"/>
      <c r="G205" s="14"/>
      <c r="H205" s="10">
        <v>25</v>
      </c>
      <c r="I205" s="16" t="s">
        <v>166</v>
      </c>
      <c r="J205" s="10" t="s">
        <v>257</v>
      </c>
      <c r="K205" s="16">
        <v>1968</v>
      </c>
      <c r="L205" s="10">
        <v>500041</v>
      </c>
      <c r="M205" s="16" t="s">
        <v>264</v>
      </c>
      <c r="N205" s="95" t="s">
        <v>432</v>
      </c>
      <c r="O205" s="107"/>
      <c r="P205" s="107"/>
      <c r="Q205" s="94" t="s">
        <v>439</v>
      </c>
      <c r="R205" s="88"/>
      <c r="S205" s="88"/>
      <c r="T205" s="56" t="s">
        <v>363</v>
      </c>
      <c r="U205" s="27"/>
      <c r="V205" s="27"/>
      <c r="W205" s="45"/>
      <c r="X205" s="23" t="s">
        <v>277</v>
      </c>
    </row>
    <row r="206" spans="1:24" x14ac:dyDescent="0.3">
      <c r="C206" s="22">
        <v>2</v>
      </c>
      <c r="D206" s="14" t="s">
        <v>268</v>
      </c>
      <c r="E206" s="14">
        <v>17.2</v>
      </c>
      <c r="F206" s="21"/>
      <c r="G206" s="14"/>
      <c r="H206" s="21">
        <v>17.2</v>
      </c>
      <c r="I206" s="14" t="s">
        <v>274</v>
      </c>
      <c r="J206" s="21" t="s">
        <v>257</v>
      </c>
      <c r="K206" s="14">
        <v>1957</v>
      </c>
      <c r="L206" s="21">
        <v>500016</v>
      </c>
      <c r="M206" s="14" t="s">
        <v>265</v>
      </c>
      <c r="N206" s="95" t="s">
        <v>432</v>
      </c>
      <c r="O206" s="14"/>
      <c r="P206" s="14"/>
      <c r="Q206" s="94" t="s">
        <v>436</v>
      </c>
      <c r="R206" s="88"/>
      <c r="S206" s="88"/>
      <c r="T206" s="56" t="s">
        <v>363</v>
      </c>
      <c r="U206" s="27"/>
      <c r="V206" s="27"/>
      <c r="W206" s="45"/>
      <c r="X206" s="23" t="s">
        <v>277</v>
      </c>
    </row>
    <row r="207" spans="1:24" s="84" customFormat="1" x14ac:dyDescent="0.3">
      <c r="A207" s="24"/>
      <c r="B207" s="1"/>
      <c r="C207" s="22">
        <v>5</v>
      </c>
      <c r="D207" s="100" t="s">
        <v>617</v>
      </c>
      <c r="E207" s="22">
        <v>40</v>
      </c>
      <c r="F207" s="14"/>
      <c r="G207" s="14"/>
      <c r="H207" s="14" t="s">
        <v>109</v>
      </c>
      <c r="I207" s="14" t="s">
        <v>110</v>
      </c>
      <c r="J207" s="14" t="s">
        <v>50</v>
      </c>
      <c r="K207" s="14">
        <v>2004</v>
      </c>
      <c r="L207" s="14">
        <v>60002765</v>
      </c>
      <c r="M207" s="14" t="s">
        <v>176</v>
      </c>
      <c r="N207" s="123" t="s">
        <v>431</v>
      </c>
      <c r="O207" s="123" t="s">
        <v>328</v>
      </c>
      <c r="P207" s="123">
        <v>40</v>
      </c>
      <c r="Q207" s="115" t="s">
        <v>453</v>
      </c>
      <c r="R207" s="89"/>
      <c r="S207" s="89"/>
      <c r="T207" s="81" t="s">
        <v>510</v>
      </c>
      <c r="U207" s="56"/>
      <c r="V207" s="56"/>
      <c r="W207" s="70"/>
      <c r="X207" s="129" t="s">
        <v>218</v>
      </c>
    </row>
    <row r="208" spans="1:24" s="84" customFormat="1" x14ac:dyDescent="0.3">
      <c r="A208" s="24"/>
      <c r="B208" s="1"/>
      <c r="C208" s="22">
        <v>6</v>
      </c>
      <c r="D208" s="100" t="s">
        <v>618</v>
      </c>
      <c r="E208" s="14">
        <v>25</v>
      </c>
      <c r="F208" s="14"/>
      <c r="G208" s="14"/>
      <c r="H208" s="14" t="s">
        <v>116</v>
      </c>
      <c r="I208" s="14" t="s">
        <v>166</v>
      </c>
      <c r="J208" s="14" t="s">
        <v>167</v>
      </c>
      <c r="K208" s="14">
        <v>1977</v>
      </c>
      <c r="L208" s="25" t="s">
        <v>168</v>
      </c>
      <c r="M208" s="25" t="s">
        <v>169</v>
      </c>
      <c r="N208" s="115" t="s">
        <v>431</v>
      </c>
      <c r="O208" s="115" t="s">
        <v>327</v>
      </c>
      <c r="P208" s="116">
        <v>25</v>
      </c>
      <c r="Q208" s="115" t="s">
        <v>483</v>
      </c>
      <c r="R208" s="89"/>
      <c r="S208" s="89"/>
      <c r="T208" s="81" t="s">
        <v>509</v>
      </c>
      <c r="U208" s="56"/>
      <c r="V208" s="56"/>
      <c r="W208" s="70"/>
      <c r="X208" s="129" t="s">
        <v>218</v>
      </c>
    </row>
    <row r="209" spans="1:24" s="84" customFormat="1" x14ac:dyDescent="0.3">
      <c r="A209" s="24"/>
      <c r="B209" s="1"/>
      <c r="C209" s="22">
        <v>9</v>
      </c>
      <c r="D209" s="100" t="s">
        <v>619</v>
      </c>
      <c r="E209" s="14">
        <v>25</v>
      </c>
      <c r="F209" s="14"/>
      <c r="G209" s="14"/>
      <c r="H209" s="14" t="s">
        <v>116</v>
      </c>
      <c r="I209" s="14" t="s">
        <v>166</v>
      </c>
      <c r="J209" s="14" t="s">
        <v>167</v>
      </c>
      <c r="K209" s="14">
        <v>1977</v>
      </c>
      <c r="L209" s="25" t="s">
        <v>174</v>
      </c>
      <c r="M209" s="25" t="s">
        <v>175</v>
      </c>
      <c r="N209" s="115" t="s">
        <v>431</v>
      </c>
      <c r="O209" s="115" t="s">
        <v>327</v>
      </c>
      <c r="P209" s="116">
        <v>25</v>
      </c>
      <c r="Q209" s="115" t="s">
        <v>456</v>
      </c>
      <c r="R209" s="89"/>
      <c r="S209" s="89"/>
      <c r="T209" s="81" t="s">
        <v>509</v>
      </c>
      <c r="U209" s="56"/>
      <c r="V209" s="56"/>
      <c r="W209" s="70"/>
      <c r="X209" s="129" t="s">
        <v>218</v>
      </c>
    </row>
    <row r="210" spans="1:24" ht="16.5" customHeight="1" x14ac:dyDescent="0.3">
      <c r="B210" s="1"/>
      <c r="C210" s="22">
        <v>48</v>
      </c>
      <c r="D210" s="14" t="s">
        <v>616</v>
      </c>
      <c r="E210" s="14">
        <v>50</v>
      </c>
      <c r="F210" s="14"/>
      <c r="G210" s="14"/>
      <c r="H210" s="14" t="s">
        <v>113</v>
      </c>
      <c r="I210" s="14" t="s">
        <v>112</v>
      </c>
      <c r="J210" s="14" t="s">
        <v>43</v>
      </c>
      <c r="K210" s="14">
        <v>2011</v>
      </c>
      <c r="L210" s="14">
        <v>60004381</v>
      </c>
      <c r="M210" s="14">
        <v>338118</v>
      </c>
      <c r="N210" s="118" t="s">
        <v>430</v>
      </c>
      <c r="O210" s="119" t="s">
        <v>327</v>
      </c>
      <c r="P210" s="120">
        <v>50</v>
      </c>
      <c r="Q210" s="93" t="s">
        <v>470</v>
      </c>
      <c r="R210" s="115" t="s">
        <v>470</v>
      </c>
      <c r="S210" s="115" t="s">
        <v>530</v>
      </c>
      <c r="T210" s="22"/>
      <c r="U210" s="27"/>
      <c r="V210" s="27"/>
      <c r="W210" s="45"/>
      <c r="X210" s="9"/>
    </row>
    <row r="211" spans="1:24" s="84" customFormat="1" x14ac:dyDescent="0.3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113"/>
      <c r="Q211" s="91"/>
      <c r="R211" s="91"/>
      <c r="S211" s="91"/>
      <c r="T211" s="24"/>
      <c r="U211" s="24"/>
      <c r="V211" s="24"/>
      <c r="W211" s="24"/>
    </row>
    <row r="212" spans="1:24" s="84" customFormat="1" x14ac:dyDescent="0.3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113"/>
      <c r="Q212" s="91"/>
      <c r="R212" s="91"/>
      <c r="S212" s="91"/>
      <c r="T212" s="24"/>
      <c r="U212" s="24"/>
      <c r="V212" s="24"/>
      <c r="W212" s="24"/>
    </row>
    <row r="213" spans="1:24" s="84" customFormat="1" x14ac:dyDescent="0.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113"/>
      <c r="Q213" s="91"/>
      <c r="R213" s="91"/>
      <c r="S213" s="91"/>
      <c r="T213" s="24"/>
      <c r="U213" s="24"/>
      <c r="V213" s="24"/>
      <c r="W213" s="24"/>
    </row>
    <row r="214" spans="1:24" s="105" customFormat="1" x14ac:dyDescent="0.3">
      <c r="A214" s="97"/>
      <c r="B214" s="98"/>
      <c r="C214" s="99" t="s">
        <v>403</v>
      </c>
      <c r="D214" s="100" t="s">
        <v>371</v>
      </c>
      <c r="E214" s="100">
        <v>25</v>
      </c>
      <c r="F214" s="100"/>
      <c r="G214" s="100"/>
      <c r="H214" s="100" t="s">
        <v>116</v>
      </c>
      <c r="I214" s="101" t="s">
        <v>118</v>
      </c>
      <c r="J214" s="100" t="s">
        <v>50</v>
      </c>
      <c r="K214" s="100">
        <v>1995</v>
      </c>
      <c r="L214" s="100">
        <v>50500505</v>
      </c>
      <c r="M214" s="100" t="s">
        <v>370</v>
      </c>
      <c r="N214" s="102" t="s">
        <v>431</v>
      </c>
      <c r="O214" s="100"/>
      <c r="P214" s="100"/>
      <c r="Q214" s="102" t="s">
        <v>448</v>
      </c>
      <c r="R214" s="102"/>
      <c r="S214" s="102"/>
      <c r="T214" s="99" t="s">
        <v>372</v>
      </c>
      <c r="U214" s="103"/>
      <c r="V214" s="103"/>
      <c r="W214" s="101"/>
      <c r="X214" s="104"/>
    </row>
  </sheetData>
  <autoFilter ref="C74:X146" xr:uid="{1FB21E84-A4E9-4A13-9FD3-8050B5A3DBCC}"/>
  <pageMargins left="0.7" right="0.7" top="0.75" bottom="0.75" header="0.3" footer="0.3"/>
  <pageSetup paperSize="9" orientation="portrait" r:id="rId1"/>
  <ignoredErrors>
    <ignoredError sqref="L137:L140 H78 H123:H127 H132:H135 L164:L166 H80:H84 L82:L84 L87:L93 H87:H94 L143 L123:L125 H96:H98 L114:L118 H114:H118 H137:H143 H120 H103:H112 L96:L112 L128:L135" numberStoredAsText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D11BE-5E99-49B0-A3B4-AFBD9596AA03}">
  <dimension ref="B3:G5"/>
  <sheetViews>
    <sheetView workbookViewId="0">
      <selection activeCell="G3" sqref="G3"/>
    </sheetView>
  </sheetViews>
  <sheetFormatPr baseColWidth="10" defaultRowHeight="13.5" x14ac:dyDescent="0.3"/>
  <cols>
    <col min="2" max="2" width="15" bestFit="1" customWidth="1"/>
    <col min="3" max="3" width="4.5" bestFit="1" customWidth="1"/>
    <col min="4" max="5" width="7.1640625" bestFit="1" customWidth="1"/>
  </cols>
  <sheetData>
    <row r="3" spans="2:7" x14ac:dyDescent="0.3">
      <c r="B3" t="s">
        <v>605</v>
      </c>
      <c r="C3" t="s">
        <v>606</v>
      </c>
      <c r="D3">
        <v>0</v>
      </c>
      <c r="E3">
        <v>30000</v>
      </c>
      <c r="F3" s="164">
        <v>10000</v>
      </c>
      <c r="G3" s="164">
        <v>22900</v>
      </c>
    </row>
    <row r="4" spans="2:7" x14ac:dyDescent="0.3">
      <c r="B4" t="s">
        <v>607</v>
      </c>
      <c r="C4" t="s">
        <v>608</v>
      </c>
      <c r="D4">
        <v>30000</v>
      </c>
      <c r="E4">
        <v>138000</v>
      </c>
      <c r="F4" s="164">
        <v>60000</v>
      </c>
    </row>
    <row r="5" spans="2:7" x14ac:dyDescent="0.3">
      <c r="B5" t="s">
        <v>609</v>
      </c>
      <c r="C5" t="s">
        <v>610</v>
      </c>
      <c r="D5">
        <v>138000</v>
      </c>
      <c r="E5">
        <v>220000</v>
      </c>
      <c r="F5" s="164">
        <v>220000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24"/>
  <sheetViews>
    <sheetView workbookViewId="0">
      <selection activeCell="F31" sqref="F31"/>
    </sheetView>
  </sheetViews>
  <sheetFormatPr baseColWidth="10" defaultRowHeight="13.5" x14ac:dyDescent="0.3"/>
  <cols>
    <col min="3" max="3" width="5.33203125" style="28" bestFit="1" customWidth="1"/>
    <col min="4" max="4" width="18.33203125" style="28" bestFit="1" customWidth="1"/>
    <col min="5" max="5" width="12" style="28"/>
    <col min="6" max="6" width="29.33203125" style="28" bestFit="1" customWidth="1"/>
    <col min="7" max="7" width="22" style="28" bestFit="1" customWidth="1"/>
    <col min="8" max="8" width="12.6640625" style="28" bestFit="1" customWidth="1"/>
    <col min="9" max="9" width="15.6640625" style="28" customWidth="1"/>
    <col min="10" max="10" width="10.6640625" style="28" customWidth="1"/>
    <col min="11" max="11" width="13" style="28" customWidth="1"/>
    <col min="12" max="12" width="28.5" bestFit="1" customWidth="1"/>
  </cols>
  <sheetData>
    <row r="1" spans="1:14" s="79" customFormat="1" ht="47.25" x14ac:dyDescent="0.3">
      <c r="A1"/>
      <c r="B1" s="1"/>
      <c r="C1" s="64" t="s">
        <v>31</v>
      </c>
      <c r="D1" s="40" t="s">
        <v>590</v>
      </c>
      <c r="E1" s="40" t="s">
        <v>35</v>
      </c>
      <c r="F1" s="65" t="s">
        <v>36</v>
      </c>
      <c r="G1" s="40" t="s">
        <v>37</v>
      </c>
      <c r="H1" s="65" t="s">
        <v>593</v>
      </c>
      <c r="I1" s="60" t="s">
        <v>40</v>
      </c>
      <c r="J1" s="155" t="s">
        <v>321</v>
      </c>
      <c r="K1" s="155" t="s">
        <v>557</v>
      </c>
      <c r="L1" s="40" t="s">
        <v>317</v>
      </c>
    </row>
    <row r="2" spans="1:14" s="79" customFormat="1" ht="16.5" hidden="1" x14ac:dyDescent="0.3">
      <c r="A2"/>
      <c r="B2"/>
      <c r="C2" s="22">
        <v>3</v>
      </c>
      <c r="D2" s="159" t="s">
        <v>41</v>
      </c>
      <c r="E2" s="14" t="s">
        <v>219</v>
      </c>
      <c r="F2" s="14" t="s">
        <v>42</v>
      </c>
      <c r="G2" s="14" t="s">
        <v>43</v>
      </c>
      <c r="H2" s="14">
        <v>2017</v>
      </c>
      <c r="I2" s="14" t="s">
        <v>220</v>
      </c>
      <c r="J2" s="117" t="s">
        <v>218</v>
      </c>
      <c r="K2" s="156" t="s">
        <v>558</v>
      </c>
      <c r="L2" s="153"/>
    </row>
    <row r="3" spans="1:14" s="79" customFormat="1" ht="16.5" hidden="1" x14ac:dyDescent="0.3">
      <c r="A3"/>
      <c r="B3"/>
      <c r="C3" s="22">
        <v>4</v>
      </c>
      <c r="D3" s="159" t="s">
        <v>54</v>
      </c>
      <c r="E3" s="14" t="s">
        <v>221</v>
      </c>
      <c r="F3" s="14" t="s">
        <v>42</v>
      </c>
      <c r="G3" s="14" t="s">
        <v>43</v>
      </c>
      <c r="H3" s="14">
        <v>2017</v>
      </c>
      <c r="I3" s="14" t="s">
        <v>55</v>
      </c>
      <c r="J3" s="117" t="s">
        <v>218</v>
      </c>
      <c r="K3" s="156" t="s">
        <v>558</v>
      </c>
      <c r="L3" s="153"/>
    </row>
    <row r="4" spans="1:14" s="79" customFormat="1" ht="16.5" hidden="1" x14ac:dyDescent="0.3">
      <c r="A4"/>
      <c r="B4" s="3"/>
      <c r="C4" s="22">
        <v>1</v>
      </c>
      <c r="D4" s="159" t="s">
        <v>47</v>
      </c>
      <c r="E4" s="14" t="s">
        <v>222</v>
      </c>
      <c r="F4" s="14" t="s">
        <v>49</v>
      </c>
      <c r="G4" s="14" t="s">
        <v>43</v>
      </c>
      <c r="H4" s="14">
        <v>2017</v>
      </c>
      <c r="I4" s="14" t="s">
        <v>223</v>
      </c>
      <c r="J4" s="117" t="s">
        <v>218</v>
      </c>
      <c r="K4" s="27" t="s">
        <v>589</v>
      </c>
      <c r="L4" s="158"/>
    </row>
    <row r="5" spans="1:14" s="79" customFormat="1" ht="16.5" hidden="1" x14ac:dyDescent="0.3">
      <c r="A5"/>
      <c r="B5"/>
      <c r="C5" s="22">
        <v>5</v>
      </c>
      <c r="D5" s="159" t="s">
        <v>2</v>
      </c>
      <c r="E5" s="14" t="s">
        <v>225</v>
      </c>
      <c r="F5" s="14" t="s">
        <v>42</v>
      </c>
      <c r="G5" s="14" t="s">
        <v>43</v>
      </c>
      <c r="H5" s="14">
        <v>2008</v>
      </c>
      <c r="I5" s="14" t="s">
        <v>226</v>
      </c>
      <c r="J5" s="117" t="s">
        <v>218</v>
      </c>
      <c r="K5" s="156" t="s">
        <v>558</v>
      </c>
      <c r="L5" s="153"/>
    </row>
    <row r="6" spans="1:14" s="79" customFormat="1" ht="16.5" hidden="1" x14ac:dyDescent="0.3">
      <c r="A6"/>
      <c r="B6"/>
      <c r="C6" s="22">
        <v>6</v>
      </c>
      <c r="D6" s="159" t="s">
        <v>230</v>
      </c>
      <c r="E6" s="14" t="s">
        <v>231</v>
      </c>
      <c r="F6" s="14" t="s">
        <v>42</v>
      </c>
      <c r="G6" s="14" t="s">
        <v>43</v>
      </c>
      <c r="H6" s="14">
        <v>2013</v>
      </c>
      <c r="I6" s="14" t="s">
        <v>79</v>
      </c>
      <c r="J6" s="117" t="s">
        <v>218</v>
      </c>
      <c r="K6" s="27" t="s">
        <v>589</v>
      </c>
      <c r="L6" s="153"/>
    </row>
    <row r="7" spans="1:14" s="79" customFormat="1" ht="16.5" hidden="1" x14ac:dyDescent="0.3">
      <c r="A7"/>
      <c r="B7"/>
      <c r="C7" s="22">
        <v>7</v>
      </c>
      <c r="D7" s="159" t="s">
        <v>81</v>
      </c>
      <c r="E7" s="14" t="s">
        <v>231</v>
      </c>
      <c r="F7" s="14" t="s">
        <v>82</v>
      </c>
      <c r="G7" s="14" t="s">
        <v>43</v>
      </c>
      <c r="H7" s="14">
        <v>2020</v>
      </c>
      <c r="I7" s="14" t="s">
        <v>233</v>
      </c>
      <c r="J7" s="117" t="s">
        <v>218</v>
      </c>
      <c r="K7" s="156" t="s">
        <v>558</v>
      </c>
      <c r="L7" s="153"/>
    </row>
    <row r="8" spans="1:14" s="79" customFormat="1" ht="16.5" hidden="1" x14ac:dyDescent="0.3">
      <c r="A8"/>
      <c r="B8"/>
      <c r="C8" s="22">
        <v>8</v>
      </c>
      <c r="D8" s="159" t="s">
        <v>4</v>
      </c>
      <c r="E8" s="14" t="s">
        <v>225</v>
      </c>
      <c r="F8" s="14" t="s">
        <v>42</v>
      </c>
      <c r="G8" s="14" t="s">
        <v>43</v>
      </c>
      <c r="H8" s="14">
        <v>2017</v>
      </c>
      <c r="I8" s="14" t="s">
        <v>234</v>
      </c>
      <c r="J8" s="117" t="s">
        <v>218</v>
      </c>
      <c r="K8" s="156" t="s">
        <v>558</v>
      </c>
      <c r="L8" s="153"/>
    </row>
    <row r="9" spans="1:14" s="79" customFormat="1" ht="16.5" hidden="1" x14ac:dyDescent="0.3">
      <c r="A9"/>
      <c r="B9"/>
      <c r="C9" s="22">
        <v>9</v>
      </c>
      <c r="D9" s="159" t="s">
        <v>70</v>
      </c>
      <c r="E9" s="14" t="s">
        <v>235</v>
      </c>
      <c r="F9" s="14" t="s">
        <v>90</v>
      </c>
      <c r="G9" s="14" t="s">
        <v>43</v>
      </c>
      <c r="H9" s="14">
        <v>2017</v>
      </c>
      <c r="I9" s="14" t="s">
        <v>236</v>
      </c>
      <c r="J9" s="117" t="s">
        <v>218</v>
      </c>
      <c r="K9" s="156" t="s">
        <v>558</v>
      </c>
      <c r="L9" s="153"/>
    </row>
    <row r="10" spans="1:14" s="79" customFormat="1" ht="16.5" hidden="1" x14ac:dyDescent="0.3">
      <c r="A10"/>
      <c r="B10"/>
      <c r="C10" s="22">
        <v>10</v>
      </c>
      <c r="D10" s="159" t="s">
        <v>89</v>
      </c>
      <c r="E10" s="14" t="s">
        <v>235</v>
      </c>
      <c r="F10" s="14" t="s">
        <v>42</v>
      </c>
      <c r="G10" s="14" t="s">
        <v>91</v>
      </c>
      <c r="H10" s="14">
        <v>2018</v>
      </c>
      <c r="I10" s="14" t="s">
        <v>239</v>
      </c>
      <c r="J10" s="117" t="s">
        <v>218</v>
      </c>
      <c r="K10" s="156" t="s">
        <v>558</v>
      </c>
      <c r="L10" s="153"/>
    </row>
    <row r="11" spans="1:14" s="79" customFormat="1" ht="16.5" hidden="1" x14ac:dyDescent="0.3">
      <c r="A11"/>
      <c r="B11" s="3"/>
      <c r="C11" s="22">
        <v>2</v>
      </c>
      <c r="D11" s="159" t="s">
        <v>0</v>
      </c>
      <c r="E11" s="14" t="s">
        <v>592</v>
      </c>
      <c r="F11" s="14" t="s">
        <v>49</v>
      </c>
      <c r="G11" s="14" t="s">
        <v>43</v>
      </c>
      <c r="H11" s="14">
        <v>2017</v>
      </c>
      <c r="I11" s="14" t="s">
        <v>96</v>
      </c>
      <c r="J11" s="117" t="s">
        <v>218</v>
      </c>
      <c r="K11" s="27" t="s">
        <v>589</v>
      </c>
      <c r="L11" s="158"/>
    </row>
    <row r="12" spans="1:14" s="79" customFormat="1" ht="16.5" x14ac:dyDescent="0.3">
      <c r="A12"/>
      <c r="B12"/>
      <c r="C12" s="22">
        <v>11</v>
      </c>
      <c r="D12" s="159" t="s">
        <v>89</v>
      </c>
      <c r="E12" s="14">
        <v>50</v>
      </c>
      <c r="F12" s="14" t="s">
        <v>237</v>
      </c>
      <c r="G12" s="14" t="s">
        <v>91</v>
      </c>
      <c r="H12" s="14">
        <v>2018</v>
      </c>
      <c r="I12" s="14" t="s">
        <v>238</v>
      </c>
      <c r="J12" s="117" t="s">
        <v>218</v>
      </c>
      <c r="K12" s="156" t="s">
        <v>558</v>
      </c>
      <c r="L12" s="153"/>
    </row>
    <row r="13" spans="1:14" s="79" customFormat="1" ht="16.5" x14ac:dyDescent="0.3">
      <c r="A13"/>
      <c r="B13"/>
      <c r="C13" s="22">
        <v>12</v>
      </c>
      <c r="D13" s="159" t="s">
        <v>103</v>
      </c>
      <c r="E13" s="14">
        <v>50</v>
      </c>
      <c r="F13" s="14" t="s">
        <v>104</v>
      </c>
      <c r="G13" s="14" t="s">
        <v>91</v>
      </c>
      <c r="H13" s="14">
        <v>2019</v>
      </c>
      <c r="I13" s="14" t="s">
        <v>241</v>
      </c>
      <c r="J13" s="117" t="s">
        <v>218</v>
      </c>
      <c r="K13" s="156" t="s">
        <v>558</v>
      </c>
      <c r="L13" s="153"/>
    </row>
    <row r="14" spans="1:14" s="79" customFormat="1" ht="16.5" customHeight="1" x14ac:dyDescent="0.3">
      <c r="A14"/>
      <c r="B14" s="1"/>
      <c r="C14" s="22">
        <v>13</v>
      </c>
      <c r="D14" s="159" t="s">
        <v>10</v>
      </c>
      <c r="E14" s="14">
        <v>50</v>
      </c>
      <c r="F14" s="14" t="s">
        <v>129</v>
      </c>
      <c r="G14" s="14" t="s">
        <v>119</v>
      </c>
      <c r="H14" s="14">
        <v>2014</v>
      </c>
      <c r="I14" s="14">
        <v>146917</v>
      </c>
      <c r="J14" s="117" t="s">
        <v>218</v>
      </c>
      <c r="K14" s="27" t="s">
        <v>589</v>
      </c>
      <c r="L14" s="153"/>
    </row>
    <row r="15" spans="1:14" s="79" customFormat="1" ht="16.5" customHeight="1" x14ac:dyDescent="0.3">
      <c r="A15"/>
      <c r="B15" s="1"/>
      <c r="C15" s="22">
        <v>14</v>
      </c>
      <c r="D15" s="159" t="s">
        <v>4</v>
      </c>
      <c r="E15" s="14">
        <v>50</v>
      </c>
      <c r="F15" s="14" t="s">
        <v>118</v>
      </c>
      <c r="G15" s="14" t="s">
        <v>43</v>
      </c>
      <c r="H15" s="14">
        <v>2013</v>
      </c>
      <c r="I15" s="14">
        <v>364078</v>
      </c>
      <c r="J15" s="117" t="s">
        <v>218</v>
      </c>
      <c r="K15" s="27" t="s">
        <v>589</v>
      </c>
      <c r="L15" s="153"/>
    </row>
    <row r="16" spans="1:14" s="79" customFormat="1" ht="16.5" x14ac:dyDescent="0.3">
      <c r="A16"/>
      <c r="B16"/>
      <c r="C16" s="22">
        <v>15</v>
      </c>
      <c r="D16" s="159" t="s">
        <v>54</v>
      </c>
      <c r="E16" s="14" t="s">
        <v>135</v>
      </c>
      <c r="F16" s="14" t="s">
        <v>269</v>
      </c>
      <c r="G16" s="14" t="s">
        <v>167</v>
      </c>
      <c r="H16" s="14">
        <v>1982</v>
      </c>
      <c r="I16" s="14" t="s">
        <v>259</v>
      </c>
      <c r="J16" s="114" t="s">
        <v>218</v>
      </c>
      <c r="K16" s="156" t="s">
        <v>558</v>
      </c>
      <c r="L16" s="154"/>
      <c r="M16" s="85"/>
      <c r="N16" s="85"/>
    </row>
    <row r="17" spans="1:14" s="79" customFormat="1" ht="16.5" x14ac:dyDescent="0.3">
      <c r="A17"/>
      <c r="B17"/>
      <c r="C17" s="22">
        <v>16</v>
      </c>
      <c r="D17" s="159" t="s">
        <v>20</v>
      </c>
      <c r="E17" s="14" t="s">
        <v>135</v>
      </c>
      <c r="F17" s="14" t="s">
        <v>269</v>
      </c>
      <c r="G17" s="14" t="s">
        <v>167</v>
      </c>
      <c r="H17" s="14">
        <v>1982</v>
      </c>
      <c r="I17" s="14" t="s">
        <v>260</v>
      </c>
      <c r="J17" s="114" t="s">
        <v>218</v>
      </c>
      <c r="K17" s="156" t="s">
        <v>558</v>
      </c>
      <c r="L17" s="154"/>
      <c r="M17" s="85"/>
      <c r="N17" s="85"/>
    </row>
    <row r="18" spans="1:14" s="84" customFormat="1" ht="16.5" x14ac:dyDescent="0.3">
      <c r="A18" s="24"/>
      <c r="B18" s="24"/>
      <c r="C18" s="22">
        <v>17</v>
      </c>
      <c r="D18" s="159" t="s">
        <v>6</v>
      </c>
      <c r="E18" s="14" t="s">
        <v>163</v>
      </c>
      <c r="F18" s="14" t="s">
        <v>270</v>
      </c>
      <c r="G18" s="14" t="s">
        <v>50</v>
      </c>
      <c r="H18" s="14">
        <v>2005</v>
      </c>
      <c r="I18" s="14" t="s">
        <v>244</v>
      </c>
      <c r="J18" s="114" t="s">
        <v>218</v>
      </c>
      <c r="K18" s="156" t="s">
        <v>558</v>
      </c>
      <c r="L18" s="157"/>
      <c r="M18" s="86"/>
      <c r="N18" s="86"/>
    </row>
    <row r="19" spans="1:14" s="79" customFormat="1" ht="16.5" x14ac:dyDescent="0.3">
      <c r="A19"/>
      <c r="B19" s="1"/>
      <c r="C19" s="22">
        <v>18</v>
      </c>
      <c r="D19" s="160" t="s">
        <v>21</v>
      </c>
      <c r="E19" s="11" t="s">
        <v>163</v>
      </c>
      <c r="F19" s="17" t="s">
        <v>124</v>
      </c>
      <c r="G19" s="14" t="s">
        <v>119</v>
      </c>
      <c r="H19" s="14">
        <v>2002</v>
      </c>
      <c r="I19" s="14" t="s">
        <v>254</v>
      </c>
      <c r="J19" s="114" t="s">
        <v>218</v>
      </c>
      <c r="K19" s="156" t="s">
        <v>558</v>
      </c>
      <c r="L19" s="153"/>
    </row>
    <row r="20" spans="1:14" s="79" customFormat="1" ht="16.5" x14ac:dyDescent="0.3">
      <c r="A20"/>
      <c r="B20" s="1"/>
      <c r="C20" s="22">
        <v>19</v>
      </c>
      <c r="D20" s="159" t="s">
        <v>25</v>
      </c>
      <c r="E20" s="14" t="s">
        <v>247</v>
      </c>
      <c r="F20" s="14" t="s">
        <v>271</v>
      </c>
      <c r="G20" s="14" t="s">
        <v>275</v>
      </c>
      <c r="H20" s="14" t="s">
        <v>306</v>
      </c>
      <c r="I20" s="14" t="s">
        <v>246</v>
      </c>
      <c r="J20" s="114" t="s">
        <v>218</v>
      </c>
      <c r="K20" s="156" t="s">
        <v>558</v>
      </c>
      <c r="L20" s="153"/>
    </row>
    <row r="21" spans="1:14" s="79" customFormat="1" ht="16.5" x14ac:dyDescent="0.3">
      <c r="A21"/>
      <c r="B21" s="1"/>
      <c r="C21" s="22">
        <v>20</v>
      </c>
      <c r="D21" s="159" t="s">
        <v>28</v>
      </c>
      <c r="E21" s="14" t="s">
        <v>116</v>
      </c>
      <c r="F21" s="14" t="s">
        <v>166</v>
      </c>
      <c r="G21" s="14" t="s">
        <v>167</v>
      </c>
      <c r="H21" s="14">
        <v>1980</v>
      </c>
      <c r="I21" s="25" t="s">
        <v>206</v>
      </c>
      <c r="J21" s="114" t="s">
        <v>218</v>
      </c>
      <c r="K21" s="156" t="s">
        <v>558</v>
      </c>
      <c r="L21" s="153"/>
    </row>
    <row r="22" spans="1:14" s="84" customFormat="1" ht="16.5" x14ac:dyDescent="0.3">
      <c r="A22" s="24"/>
      <c r="B22" s="1"/>
      <c r="C22" s="22">
        <v>21</v>
      </c>
      <c r="D22" s="14" t="s">
        <v>591</v>
      </c>
      <c r="E22" s="14" t="s">
        <v>109</v>
      </c>
      <c r="F22" s="14" t="s">
        <v>110</v>
      </c>
      <c r="G22" s="14" t="s">
        <v>50</v>
      </c>
      <c r="H22" s="14">
        <v>2004</v>
      </c>
      <c r="I22" s="14" t="s">
        <v>176</v>
      </c>
      <c r="J22" s="114" t="s">
        <v>218</v>
      </c>
      <c r="K22" s="156" t="s">
        <v>558</v>
      </c>
      <c r="L22" s="156" t="s">
        <v>338</v>
      </c>
    </row>
    <row r="23" spans="1:14" s="84" customFormat="1" ht="16.5" x14ac:dyDescent="0.3">
      <c r="A23" s="24"/>
      <c r="B23" s="1"/>
      <c r="C23" s="22">
        <v>22</v>
      </c>
      <c r="D23" s="14" t="s">
        <v>266</v>
      </c>
      <c r="E23" s="14" t="s">
        <v>116</v>
      </c>
      <c r="F23" s="14" t="s">
        <v>166</v>
      </c>
      <c r="G23" s="14" t="s">
        <v>167</v>
      </c>
      <c r="H23" s="14">
        <v>1977</v>
      </c>
      <c r="I23" s="25" t="s">
        <v>169</v>
      </c>
      <c r="J23" s="114" t="s">
        <v>218</v>
      </c>
      <c r="K23" s="156" t="s">
        <v>558</v>
      </c>
      <c r="L23" s="156"/>
    </row>
    <row r="24" spans="1:14" s="84" customFormat="1" ht="16.5" x14ac:dyDescent="0.3">
      <c r="A24" s="24"/>
      <c r="B24" s="1"/>
      <c r="C24" s="22">
        <v>23</v>
      </c>
      <c r="D24" s="14" t="s">
        <v>17</v>
      </c>
      <c r="E24" s="14" t="s">
        <v>116</v>
      </c>
      <c r="F24" s="14" t="s">
        <v>166</v>
      </c>
      <c r="G24" s="14" t="s">
        <v>167</v>
      </c>
      <c r="H24" s="14">
        <v>1977</v>
      </c>
      <c r="I24" s="25" t="s">
        <v>175</v>
      </c>
      <c r="J24" s="114" t="s">
        <v>218</v>
      </c>
      <c r="K24" s="156" t="s">
        <v>558</v>
      </c>
      <c r="L24" s="156"/>
    </row>
  </sheetData>
  <autoFilter ref="C1:L24" xr:uid="{EEE4F3AF-6B14-4517-A4BF-82F198CA5871}">
    <filterColumn colId="3">
      <filters>
        <filter val="220 ± 13x1,615/22,9"/>
        <filter val="220 ± 13x1.694/10"/>
        <filter val="58 ± 13x0.565/10"/>
        <filter val="58 ± 13x0.565/22.9"/>
        <filter val="58 ± 13x0.565/22.9/10"/>
        <filter val="58 ± 9x0.983/22.9/10"/>
        <filter val="58/10.32 ± 12x0.110"/>
        <filter val="62 ± 13x0.565/10"/>
        <filter val="64.32 .. 50.99/10.40-10.05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86"/>
  <sheetViews>
    <sheetView topLeftCell="A46" zoomScale="80" zoomScaleNormal="80" workbookViewId="0">
      <selection activeCell="P77" sqref="P77"/>
    </sheetView>
  </sheetViews>
  <sheetFormatPr baseColWidth="10" defaultRowHeight="13.5" x14ac:dyDescent="0.3"/>
  <cols>
    <col min="1" max="1" width="1.83203125" customWidth="1"/>
    <col min="2" max="2" width="1" customWidth="1"/>
    <col min="4" max="4" width="23" bestFit="1" customWidth="1"/>
    <col min="5" max="5" width="18.1640625" customWidth="1"/>
    <col min="6" max="6" width="12.33203125" customWidth="1"/>
    <col min="7" max="7" width="32.83203125" customWidth="1"/>
    <col min="8" max="8" width="12.33203125" customWidth="1"/>
    <col min="9" max="9" width="17.1640625" customWidth="1"/>
    <col min="10" max="10" width="37.83203125" customWidth="1"/>
    <col min="11" max="11" width="18.5" customWidth="1"/>
    <col min="12" max="12" width="11.5" customWidth="1"/>
    <col min="13" max="13" width="12" customWidth="1"/>
    <col min="14" max="14" width="18.6640625" bestFit="1" customWidth="1"/>
    <col min="15" max="17" width="18.6640625" customWidth="1"/>
    <col min="18" max="19" width="20.1640625" customWidth="1"/>
    <col min="20" max="20" width="16.1640625" customWidth="1"/>
    <col min="23" max="23" width="14.83203125" bestFit="1" customWidth="1"/>
    <col min="25" max="25" width="7.6640625" customWidth="1"/>
    <col min="26" max="26" width="16.83203125" customWidth="1"/>
  </cols>
  <sheetData>
    <row r="2" spans="1:27" s="79" customFormat="1" ht="31.5" x14ac:dyDescent="0.3">
      <c r="A2"/>
      <c r="B2" s="1"/>
      <c r="C2" s="64" t="s">
        <v>31</v>
      </c>
      <c r="D2" s="40" t="s">
        <v>32</v>
      </c>
      <c r="E2" s="40" t="s">
        <v>33</v>
      </c>
      <c r="F2" s="40" t="s">
        <v>34</v>
      </c>
      <c r="G2" s="41" t="s">
        <v>582</v>
      </c>
      <c r="H2" s="41" t="s">
        <v>356</v>
      </c>
      <c r="I2" s="40" t="s">
        <v>35</v>
      </c>
      <c r="J2" s="65" t="s">
        <v>36</v>
      </c>
      <c r="K2" s="40" t="s">
        <v>37</v>
      </c>
      <c r="L2" s="65" t="s">
        <v>38</v>
      </c>
      <c r="M2" s="40" t="s">
        <v>276</v>
      </c>
      <c r="N2" s="60" t="s">
        <v>40</v>
      </c>
      <c r="O2" s="106" t="s">
        <v>517</v>
      </c>
      <c r="P2" s="106" t="s">
        <v>511</v>
      </c>
      <c r="Q2" s="106" t="s">
        <v>512</v>
      </c>
      <c r="R2" s="8" t="s">
        <v>242</v>
      </c>
      <c r="S2" s="8" t="s">
        <v>557</v>
      </c>
      <c r="Z2" s="79" t="s">
        <v>321</v>
      </c>
      <c r="AA2" s="79" t="s">
        <v>576</v>
      </c>
    </row>
    <row r="3" spans="1:27" s="79" customFormat="1" ht="16.5" customHeight="1" x14ac:dyDescent="0.3">
      <c r="A3"/>
      <c r="B3" s="1"/>
      <c r="C3" s="22">
        <v>1</v>
      </c>
      <c r="D3" s="14" t="s">
        <v>41</v>
      </c>
      <c r="E3" s="14">
        <v>50</v>
      </c>
      <c r="F3" s="14" t="s">
        <v>342</v>
      </c>
      <c r="G3" s="14" t="str">
        <f>+D3&amp;" - "&amp;F3</f>
        <v>Alto Pradera - TRF1</v>
      </c>
      <c r="H3" s="14"/>
      <c r="I3" s="14">
        <v>50</v>
      </c>
      <c r="J3" s="14" t="s">
        <v>107</v>
      </c>
      <c r="K3" s="14" t="s">
        <v>43</v>
      </c>
      <c r="L3" s="14">
        <v>2017</v>
      </c>
      <c r="M3" s="14">
        <v>60007782</v>
      </c>
      <c r="N3" s="14" t="s">
        <v>108</v>
      </c>
      <c r="O3" s="118" t="s">
        <v>430</v>
      </c>
      <c r="P3" s="119" t="s">
        <v>329</v>
      </c>
      <c r="Q3" s="120">
        <v>50</v>
      </c>
      <c r="R3" s="9"/>
      <c r="S3" s="80" t="s">
        <v>573</v>
      </c>
      <c r="U3" s="79" t="str">
        <f t="shared" ref="U3:U66" si="0">+P3&amp;" - "&amp;Q3</f>
        <v>60/22.9 - 50</v>
      </c>
      <c r="W3" s="79" t="s">
        <v>564</v>
      </c>
      <c r="X3" s="79">
        <f>+COUNTIFS($U$3:$U$73,W3)</f>
        <v>9</v>
      </c>
      <c r="Z3" s="79" t="s">
        <v>567</v>
      </c>
      <c r="AA3" s="79">
        <v>22</v>
      </c>
    </row>
    <row r="4" spans="1:27" s="79" customFormat="1" ht="16.5" customHeight="1" x14ac:dyDescent="0.3">
      <c r="A4"/>
      <c r="B4" s="1"/>
      <c r="C4" s="22">
        <v>2</v>
      </c>
      <c r="D4" s="14" t="s">
        <v>2</v>
      </c>
      <c r="E4" s="14">
        <v>40</v>
      </c>
      <c r="F4" s="14" t="s">
        <v>342</v>
      </c>
      <c r="G4" s="14" t="str">
        <f t="shared" ref="G4:G67" si="1">+D4&amp;" - "&amp;F4</f>
        <v>Balnearios - TRF1</v>
      </c>
      <c r="H4" s="14"/>
      <c r="I4" s="14" t="s">
        <v>109</v>
      </c>
      <c r="J4" s="14" t="s">
        <v>110</v>
      </c>
      <c r="K4" s="14" t="s">
        <v>50</v>
      </c>
      <c r="L4" s="14">
        <v>2008</v>
      </c>
      <c r="M4" s="14">
        <v>60003655</v>
      </c>
      <c r="N4" s="14" t="s">
        <v>111</v>
      </c>
      <c r="O4" s="118" t="s">
        <v>430</v>
      </c>
      <c r="P4" s="118" t="s">
        <v>328</v>
      </c>
      <c r="Q4" s="120">
        <v>40</v>
      </c>
      <c r="R4" s="9"/>
      <c r="S4" s="80" t="s">
        <v>573</v>
      </c>
      <c r="U4" s="79" t="str">
        <f t="shared" si="0"/>
        <v>60/22.9/10 - 40</v>
      </c>
      <c r="W4" s="79" t="s">
        <v>565</v>
      </c>
      <c r="X4" s="79">
        <f t="shared" ref="X4:X11" si="2">+COUNTIFS($U$3:$U$73,W4)</f>
        <v>11</v>
      </c>
      <c r="Z4" s="79" t="s">
        <v>577</v>
      </c>
      <c r="AA4" s="79">
        <v>5</v>
      </c>
    </row>
    <row r="5" spans="1:27" s="79" customFormat="1" ht="16.5" customHeight="1" x14ac:dyDescent="0.3">
      <c r="A5" s="24"/>
      <c r="B5" s="1"/>
      <c r="C5" s="22">
        <v>3</v>
      </c>
      <c r="D5" s="14" t="s">
        <v>2</v>
      </c>
      <c r="E5" s="14">
        <v>50</v>
      </c>
      <c r="F5" s="14" t="s">
        <v>343</v>
      </c>
      <c r="G5" s="14" t="str">
        <f t="shared" si="1"/>
        <v>Balnearios - TRF2</v>
      </c>
      <c r="H5" s="14"/>
      <c r="I5" s="14" t="s">
        <v>113</v>
      </c>
      <c r="J5" s="14" t="s">
        <v>118</v>
      </c>
      <c r="K5" s="14" t="s">
        <v>43</v>
      </c>
      <c r="L5" s="14">
        <v>2016</v>
      </c>
      <c r="M5" s="14">
        <v>60007201</v>
      </c>
      <c r="N5" s="14" t="s">
        <v>128</v>
      </c>
      <c r="O5" s="118" t="s">
        <v>430</v>
      </c>
      <c r="P5" s="119" t="s">
        <v>327</v>
      </c>
      <c r="Q5" s="120">
        <v>50</v>
      </c>
      <c r="R5" s="9"/>
      <c r="S5" s="80" t="s">
        <v>573</v>
      </c>
      <c r="U5" s="79" t="str">
        <f t="shared" si="0"/>
        <v>60/10 - 50</v>
      </c>
      <c r="W5" s="79" t="s">
        <v>566</v>
      </c>
      <c r="X5" s="79">
        <f t="shared" si="2"/>
        <v>19</v>
      </c>
      <c r="Z5" s="79" t="s">
        <v>578</v>
      </c>
      <c r="AA5" s="79">
        <v>8</v>
      </c>
    </row>
    <row r="6" spans="1:27" s="79" customFormat="1" ht="16.5" customHeight="1" x14ac:dyDescent="0.3">
      <c r="A6"/>
      <c r="B6" s="1"/>
      <c r="C6" s="22">
        <v>4</v>
      </c>
      <c r="D6" s="14" t="s">
        <v>2</v>
      </c>
      <c r="E6" s="14">
        <v>50</v>
      </c>
      <c r="F6" s="14" t="s">
        <v>344</v>
      </c>
      <c r="G6" s="14" t="str">
        <f t="shared" si="1"/>
        <v>Balnearios - TRF3</v>
      </c>
      <c r="H6" s="14"/>
      <c r="I6" s="14" t="s">
        <v>113</v>
      </c>
      <c r="J6" s="14" t="s">
        <v>112</v>
      </c>
      <c r="K6" s="14" t="s">
        <v>43</v>
      </c>
      <c r="L6" s="14">
        <v>2012</v>
      </c>
      <c r="M6" s="14">
        <v>60005445</v>
      </c>
      <c r="N6" s="14">
        <v>364072</v>
      </c>
      <c r="O6" s="118" t="s">
        <v>430</v>
      </c>
      <c r="P6" s="119" t="s">
        <v>327</v>
      </c>
      <c r="Q6" s="120">
        <v>50</v>
      </c>
      <c r="R6" s="9"/>
      <c r="S6" s="80" t="s">
        <v>573</v>
      </c>
      <c r="U6" s="79" t="str">
        <f t="shared" si="0"/>
        <v>60/10 - 50</v>
      </c>
      <c r="W6" s="79" t="s">
        <v>567</v>
      </c>
      <c r="X6" s="79">
        <f t="shared" si="2"/>
        <v>19</v>
      </c>
      <c r="Z6" s="79" t="s">
        <v>579</v>
      </c>
      <c r="AA6" s="79">
        <v>4</v>
      </c>
    </row>
    <row r="7" spans="1:27" s="79" customFormat="1" ht="16.5" customHeight="1" x14ac:dyDescent="0.3">
      <c r="A7"/>
      <c r="B7" s="5"/>
      <c r="C7" s="22">
        <v>5</v>
      </c>
      <c r="D7" s="14" t="s">
        <v>5</v>
      </c>
      <c r="E7" s="14">
        <v>50</v>
      </c>
      <c r="F7" s="14" t="s">
        <v>342</v>
      </c>
      <c r="G7" s="14" t="str">
        <f t="shared" si="1"/>
        <v>Barranco - TRF1</v>
      </c>
      <c r="H7" s="14"/>
      <c r="I7" s="14">
        <v>50</v>
      </c>
      <c r="J7" s="14" t="s">
        <v>112</v>
      </c>
      <c r="K7" s="14" t="s">
        <v>119</v>
      </c>
      <c r="L7" s="14">
        <v>2022</v>
      </c>
      <c r="M7" s="25">
        <v>60009843</v>
      </c>
      <c r="N7" s="25" t="s">
        <v>337</v>
      </c>
      <c r="O7" s="118" t="s">
        <v>430</v>
      </c>
      <c r="P7" s="119" t="s">
        <v>327</v>
      </c>
      <c r="Q7" s="120">
        <v>50</v>
      </c>
      <c r="R7" s="9"/>
      <c r="S7" s="80" t="s">
        <v>573</v>
      </c>
      <c r="U7" s="79" t="str">
        <f t="shared" si="0"/>
        <v>60/10 - 50</v>
      </c>
      <c r="W7" s="79" t="s">
        <v>568</v>
      </c>
      <c r="X7" s="79">
        <f t="shared" si="2"/>
        <v>7</v>
      </c>
      <c r="Z7" s="79" t="s">
        <v>570</v>
      </c>
      <c r="AA7" s="79">
        <v>1</v>
      </c>
    </row>
    <row r="8" spans="1:27" s="79" customFormat="1" ht="16.5" x14ac:dyDescent="0.3">
      <c r="A8"/>
      <c r="B8" s="1"/>
      <c r="C8" s="22">
        <v>6</v>
      </c>
      <c r="D8" s="14" t="s">
        <v>5</v>
      </c>
      <c r="E8" s="14">
        <v>25</v>
      </c>
      <c r="F8" s="14" t="s">
        <v>343</v>
      </c>
      <c r="G8" s="14" t="str">
        <f t="shared" si="1"/>
        <v>Barranco - TRF2</v>
      </c>
      <c r="H8" s="14"/>
      <c r="I8" s="14" t="s">
        <v>116</v>
      </c>
      <c r="J8" s="14" t="s">
        <v>112</v>
      </c>
      <c r="K8" s="14" t="s">
        <v>289</v>
      </c>
      <c r="L8" s="14" t="s">
        <v>290</v>
      </c>
      <c r="M8" s="25">
        <v>500090</v>
      </c>
      <c r="N8" s="25" t="s">
        <v>117</v>
      </c>
      <c r="O8" s="115" t="s">
        <v>431</v>
      </c>
      <c r="P8" s="115" t="s">
        <v>327</v>
      </c>
      <c r="Q8" s="116">
        <v>25</v>
      </c>
      <c r="R8" s="9"/>
      <c r="S8" s="80" t="s">
        <v>573</v>
      </c>
      <c r="U8" s="79" t="str">
        <f t="shared" si="0"/>
        <v>60/10 - 25</v>
      </c>
      <c r="W8" s="79" t="s">
        <v>569</v>
      </c>
      <c r="X8" s="79">
        <f t="shared" si="2"/>
        <v>2</v>
      </c>
      <c r="Z8" s="79" t="s">
        <v>580</v>
      </c>
      <c r="AA8" s="79">
        <v>1</v>
      </c>
    </row>
    <row r="9" spans="1:27" s="79" customFormat="1" ht="16.5" x14ac:dyDescent="0.3">
      <c r="A9"/>
      <c r="B9" s="5"/>
      <c r="C9" s="22">
        <v>7</v>
      </c>
      <c r="D9" s="14" t="s">
        <v>5</v>
      </c>
      <c r="E9" s="14">
        <v>25</v>
      </c>
      <c r="F9" s="14" t="s">
        <v>344</v>
      </c>
      <c r="G9" s="14" t="str">
        <f t="shared" si="1"/>
        <v>Barranco - TRF3</v>
      </c>
      <c r="H9" s="14"/>
      <c r="I9" s="14" t="s">
        <v>116</v>
      </c>
      <c r="J9" s="70" t="s">
        <v>118</v>
      </c>
      <c r="K9" s="14" t="s">
        <v>325</v>
      </c>
      <c r="L9" s="14" t="s">
        <v>291</v>
      </c>
      <c r="M9" s="14">
        <v>50500506</v>
      </c>
      <c r="N9" s="14" t="s">
        <v>120</v>
      </c>
      <c r="O9" s="115" t="s">
        <v>431</v>
      </c>
      <c r="P9" s="115" t="s">
        <v>327</v>
      </c>
      <c r="Q9" s="116">
        <v>25</v>
      </c>
      <c r="R9" s="9"/>
      <c r="S9" s="80" t="s">
        <v>573</v>
      </c>
      <c r="U9" s="79" t="str">
        <f t="shared" si="0"/>
        <v>60/10 - 25</v>
      </c>
      <c r="W9" s="79" t="s">
        <v>570</v>
      </c>
      <c r="X9" s="79">
        <f t="shared" si="2"/>
        <v>2</v>
      </c>
      <c r="Z9" s="79" t="s">
        <v>572</v>
      </c>
      <c r="AA9" s="79">
        <v>1</v>
      </c>
    </row>
    <row r="10" spans="1:27" s="79" customFormat="1" ht="16.5" x14ac:dyDescent="0.3">
      <c r="A10"/>
      <c r="B10" s="1"/>
      <c r="C10" s="22">
        <v>8</v>
      </c>
      <c r="D10" s="14" t="s">
        <v>6</v>
      </c>
      <c r="E10" s="14">
        <v>25</v>
      </c>
      <c r="F10" s="14" t="s">
        <v>342</v>
      </c>
      <c r="G10" s="14" t="str">
        <f t="shared" si="1"/>
        <v>Bujama - TRF1</v>
      </c>
      <c r="H10" s="14"/>
      <c r="I10" s="14">
        <v>25</v>
      </c>
      <c r="J10" s="14" t="s">
        <v>118</v>
      </c>
      <c r="K10" s="14" t="s">
        <v>275</v>
      </c>
      <c r="L10" s="14" t="s">
        <v>308</v>
      </c>
      <c r="M10" s="25" t="s">
        <v>309</v>
      </c>
      <c r="N10" s="25" t="s">
        <v>250</v>
      </c>
      <c r="O10" s="115" t="s">
        <v>431</v>
      </c>
      <c r="P10" s="115" t="s">
        <v>327</v>
      </c>
      <c r="Q10" s="116">
        <v>25</v>
      </c>
      <c r="R10" s="9"/>
      <c r="S10" s="80" t="s">
        <v>573</v>
      </c>
      <c r="U10" s="79" t="str">
        <f t="shared" si="0"/>
        <v>60/10 - 25</v>
      </c>
      <c r="W10" s="79" t="s">
        <v>571</v>
      </c>
      <c r="X10" s="79">
        <f t="shared" si="2"/>
        <v>1</v>
      </c>
      <c r="Z10" s="79" t="s">
        <v>581</v>
      </c>
      <c r="AA10" s="79">
        <v>1</v>
      </c>
    </row>
    <row r="11" spans="1:27" s="79" customFormat="1" ht="16.5" x14ac:dyDescent="0.3">
      <c r="A11"/>
      <c r="B11" s="5"/>
      <c r="C11" s="22">
        <v>9</v>
      </c>
      <c r="D11" s="14" t="s">
        <v>6</v>
      </c>
      <c r="E11" s="14">
        <v>40</v>
      </c>
      <c r="F11" s="14" t="s">
        <v>343</v>
      </c>
      <c r="G11" s="14" t="str">
        <f t="shared" si="1"/>
        <v>Bujama - TRF2</v>
      </c>
      <c r="H11" s="14"/>
      <c r="I11" s="14" t="s">
        <v>123</v>
      </c>
      <c r="J11" s="14" t="s">
        <v>124</v>
      </c>
      <c r="K11" s="14" t="s">
        <v>326</v>
      </c>
      <c r="L11" s="14" t="s">
        <v>292</v>
      </c>
      <c r="M11" s="14">
        <v>60000103</v>
      </c>
      <c r="N11" s="14" t="s">
        <v>125</v>
      </c>
      <c r="O11" s="115" t="s">
        <v>431</v>
      </c>
      <c r="P11" s="115" t="s">
        <v>328</v>
      </c>
      <c r="Q11" s="116">
        <v>40</v>
      </c>
      <c r="R11" s="9"/>
      <c r="S11" s="80" t="s">
        <v>573</v>
      </c>
      <c r="U11" s="79" t="str">
        <f t="shared" si="0"/>
        <v>60/22.9/10 - 40</v>
      </c>
      <c r="W11" s="79" t="s">
        <v>572</v>
      </c>
      <c r="X11" s="79">
        <f t="shared" si="2"/>
        <v>1</v>
      </c>
      <c r="Z11" s="79" t="s">
        <v>285</v>
      </c>
      <c r="AA11" s="79">
        <v>43</v>
      </c>
    </row>
    <row r="12" spans="1:27" s="79" customFormat="1" ht="16.5" customHeight="1" x14ac:dyDescent="0.3">
      <c r="A12"/>
      <c r="B12" s="1"/>
      <c r="C12" s="22">
        <v>10</v>
      </c>
      <c r="D12" s="14" t="s">
        <v>126</v>
      </c>
      <c r="E12" s="14">
        <v>50</v>
      </c>
      <c r="F12" s="14" t="s">
        <v>342</v>
      </c>
      <c r="G12" s="14" t="str">
        <f t="shared" si="1"/>
        <v>Central - TRF1</v>
      </c>
      <c r="H12" s="14"/>
      <c r="I12" s="14" t="s">
        <v>113</v>
      </c>
      <c r="J12" s="14" t="s">
        <v>112</v>
      </c>
      <c r="K12" s="14" t="s">
        <v>43</v>
      </c>
      <c r="L12" s="14">
        <v>2016</v>
      </c>
      <c r="M12" s="14">
        <v>60007200</v>
      </c>
      <c r="N12" s="14" t="s">
        <v>127</v>
      </c>
      <c r="O12" s="118" t="s">
        <v>430</v>
      </c>
      <c r="P12" s="119" t="s">
        <v>327</v>
      </c>
      <c r="Q12" s="120">
        <v>50</v>
      </c>
      <c r="R12" s="9"/>
      <c r="S12" s="80" t="s">
        <v>573</v>
      </c>
      <c r="U12" s="79" t="str">
        <f t="shared" si="0"/>
        <v>60/10 - 50</v>
      </c>
      <c r="W12"/>
      <c r="X12"/>
    </row>
    <row r="13" spans="1:27" s="79" customFormat="1" ht="16.5" customHeight="1" x14ac:dyDescent="0.3">
      <c r="A13"/>
      <c r="B13" s="1"/>
      <c r="C13" s="22">
        <v>11</v>
      </c>
      <c r="D13" s="14" t="s">
        <v>126</v>
      </c>
      <c r="E13" s="22">
        <v>50</v>
      </c>
      <c r="F13" s="14" t="s">
        <v>343</v>
      </c>
      <c r="G13" s="14" t="str">
        <f t="shared" si="1"/>
        <v>Central - TRF2</v>
      </c>
      <c r="H13" s="14"/>
      <c r="I13" s="14" t="s">
        <v>113</v>
      </c>
      <c r="J13" s="14" t="s">
        <v>112</v>
      </c>
      <c r="K13" s="14" t="s">
        <v>119</v>
      </c>
      <c r="L13" s="14">
        <v>2014</v>
      </c>
      <c r="M13" s="14">
        <v>60006086</v>
      </c>
      <c r="N13" s="14">
        <v>146916</v>
      </c>
      <c r="O13" s="118" t="s">
        <v>430</v>
      </c>
      <c r="P13" s="119" t="s">
        <v>327</v>
      </c>
      <c r="Q13" s="120">
        <v>50</v>
      </c>
      <c r="R13" s="9"/>
      <c r="S13" s="80" t="s">
        <v>573</v>
      </c>
      <c r="U13" s="79" t="str">
        <f t="shared" si="0"/>
        <v>60/10 - 50</v>
      </c>
      <c r="W13"/>
      <c r="X13"/>
    </row>
    <row r="14" spans="1:27" s="79" customFormat="1" ht="16.5" customHeight="1" x14ac:dyDescent="0.3">
      <c r="A14"/>
      <c r="B14" s="1"/>
      <c r="C14" s="22">
        <v>12</v>
      </c>
      <c r="D14" s="14" t="s">
        <v>126</v>
      </c>
      <c r="E14" s="14">
        <v>50</v>
      </c>
      <c r="F14" s="14" t="s">
        <v>344</v>
      </c>
      <c r="G14" s="14" t="str">
        <f t="shared" si="1"/>
        <v>Central - TRF3</v>
      </c>
      <c r="H14" s="14"/>
      <c r="I14" s="14" t="s">
        <v>113</v>
      </c>
      <c r="J14" s="14" t="s">
        <v>129</v>
      </c>
      <c r="K14" s="14" t="s">
        <v>43</v>
      </c>
      <c r="L14" s="14">
        <v>2016</v>
      </c>
      <c r="M14" s="14">
        <v>60007202</v>
      </c>
      <c r="N14" s="14" t="s">
        <v>130</v>
      </c>
      <c r="O14" s="118" t="s">
        <v>430</v>
      </c>
      <c r="P14" s="119" t="s">
        <v>329</v>
      </c>
      <c r="Q14" s="120">
        <v>50</v>
      </c>
      <c r="R14" s="9"/>
      <c r="S14" s="80" t="s">
        <v>573</v>
      </c>
      <c r="U14" s="79" t="str">
        <f t="shared" si="0"/>
        <v>60/22.9 - 50</v>
      </c>
      <c r="W14"/>
      <c r="X14"/>
    </row>
    <row r="15" spans="1:27" s="79" customFormat="1" ht="16.5" x14ac:dyDescent="0.3">
      <c r="A15"/>
      <c r="B15" s="1"/>
      <c r="C15" s="22">
        <v>13</v>
      </c>
      <c r="D15" s="14" t="s">
        <v>3</v>
      </c>
      <c r="E15" s="14">
        <v>25</v>
      </c>
      <c r="F15" s="14" t="s">
        <v>342</v>
      </c>
      <c r="G15" s="14" t="str">
        <f t="shared" si="1"/>
        <v>Chilca - TRF1</v>
      </c>
      <c r="H15" s="14"/>
      <c r="I15" s="14" t="s">
        <v>131</v>
      </c>
      <c r="J15" s="14" t="s">
        <v>110</v>
      </c>
      <c r="K15" s="14" t="s">
        <v>43</v>
      </c>
      <c r="L15" s="14">
        <v>2003</v>
      </c>
      <c r="M15" s="25">
        <v>60002660</v>
      </c>
      <c r="N15" s="25">
        <v>185466</v>
      </c>
      <c r="O15" s="115" t="s">
        <v>431</v>
      </c>
      <c r="P15" s="115" t="s">
        <v>328</v>
      </c>
      <c r="Q15" s="116">
        <v>25</v>
      </c>
      <c r="R15" s="9"/>
      <c r="S15" s="80" t="s">
        <v>573</v>
      </c>
      <c r="U15" s="79" t="str">
        <f t="shared" si="0"/>
        <v>60/22.9/10 - 25</v>
      </c>
      <c r="W15"/>
      <c r="X15"/>
    </row>
    <row r="16" spans="1:27" s="79" customFormat="1" ht="16.5" customHeight="1" x14ac:dyDescent="0.3">
      <c r="A16"/>
      <c r="B16" s="1"/>
      <c r="C16" s="22">
        <v>14</v>
      </c>
      <c r="D16" s="14" t="s">
        <v>340</v>
      </c>
      <c r="E16" s="14">
        <v>50</v>
      </c>
      <c r="F16" s="14" t="s">
        <v>343</v>
      </c>
      <c r="G16" s="14" t="str">
        <f t="shared" si="1"/>
        <v>Chilca  - TRF2</v>
      </c>
      <c r="H16" s="14"/>
      <c r="I16" s="14">
        <v>50</v>
      </c>
      <c r="J16" s="14" t="s">
        <v>129</v>
      </c>
      <c r="K16" s="14" t="s">
        <v>43</v>
      </c>
      <c r="L16" s="14">
        <v>2017</v>
      </c>
      <c r="M16" s="14">
        <v>60007835</v>
      </c>
      <c r="N16" s="14" t="s">
        <v>132</v>
      </c>
      <c r="O16" s="118" t="s">
        <v>430</v>
      </c>
      <c r="P16" s="119" t="s">
        <v>329</v>
      </c>
      <c r="Q16" s="120">
        <v>50</v>
      </c>
      <c r="R16" s="9"/>
      <c r="S16" s="80" t="s">
        <v>573</v>
      </c>
      <c r="U16" s="79" t="str">
        <f t="shared" si="0"/>
        <v>60/22.9 - 50</v>
      </c>
      <c r="W16"/>
      <c r="X16"/>
    </row>
    <row r="17" spans="1:24" s="79" customFormat="1" ht="16.5" customHeight="1" x14ac:dyDescent="0.3">
      <c r="A17"/>
      <c r="B17" s="1"/>
      <c r="C17" s="22">
        <v>15</v>
      </c>
      <c r="D17" s="14" t="s">
        <v>7</v>
      </c>
      <c r="E17" s="14">
        <v>50</v>
      </c>
      <c r="F17" s="14" t="s">
        <v>342</v>
      </c>
      <c r="G17" s="14" t="str">
        <f t="shared" si="1"/>
        <v>Chorrillos - TRF1</v>
      </c>
      <c r="H17" s="14"/>
      <c r="I17" s="14" t="s">
        <v>113</v>
      </c>
      <c r="J17" s="14" t="s">
        <v>112</v>
      </c>
      <c r="K17" s="14" t="s">
        <v>119</v>
      </c>
      <c r="L17" s="14">
        <v>2014</v>
      </c>
      <c r="M17" s="14">
        <v>60005878</v>
      </c>
      <c r="N17" s="14" t="s">
        <v>133</v>
      </c>
      <c r="O17" s="118" t="s">
        <v>430</v>
      </c>
      <c r="P17" s="119" t="s">
        <v>327</v>
      </c>
      <c r="Q17" s="120">
        <v>50</v>
      </c>
      <c r="R17" s="9"/>
      <c r="S17" s="80" t="s">
        <v>573</v>
      </c>
      <c r="U17" s="79" t="str">
        <f t="shared" si="0"/>
        <v>60/10 - 50</v>
      </c>
      <c r="W17"/>
      <c r="X17"/>
    </row>
    <row r="18" spans="1:24" s="79" customFormat="1" ht="16.5" customHeight="1" x14ac:dyDescent="0.3">
      <c r="A18"/>
      <c r="B18" s="1"/>
      <c r="C18" s="22">
        <v>16</v>
      </c>
      <c r="D18" s="14" t="s">
        <v>7</v>
      </c>
      <c r="E18" s="14">
        <v>40</v>
      </c>
      <c r="F18" s="14" t="s">
        <v>343</v>
      </c>
      <c r="G18" s="14" t="str">
        <f t="shared" si="1"/>
        <v>Chorrillos - TRF2</v>
      </c>
      <c r="H18" s="14"/>
      <c r="I18" s="14" t="s">
        <v>109</v>
      </c>
      <c r="J18" s="14" t="s">
        <v>110</v>
      </c>
      <c r="K18" s="14" t="s">
        <v>50</v>
      </c>
      <c r="L18" s="14">
        <v>2008</v>
      </c>
      <c r="M18" s="14">
        <v>60003637</v>
      </c>
      <c r="N18" s="14" t="s">
        <v>134</v>
      </c>
      <c r="O18" s="118" t="s">
        <v>430</v>
      </c>
      <c r="P18" s="118" t="s">
        <v>328</v>
      </c>
      <c r="Q18" s="120">
        <v>40</v>
      </c>
      <c r="R18" s="9"/>
      <c r="S18" s="80" t="s">
        <v>573</v>
      </c>
      <c r="U18" s="79" t="str">
        <f t="shared" si="0"/>
        <v>60/22.9/10 - 40</v>
      </c>
      <c r="W18"/>
      <c r="X18"/>
    </row>
    <row r="19" spans="1:24" s="79" customFormat="1" ht="16.5" x14ac:dyDescent="0.3">
      <c r="A19"/>
      <c r="B19" s="1"/>
      <c r="C19" s="22">
        <v>17</v>
      </c>
      <c r="D19" s="14" t="s">
        <v>8</v>
      </c>
      <c r="E19" s="14">
        <v>17.2</v>
      </c>
      <c r="F19" s="14" t="s">
        <v>342</v>
      </c>
      <c r="G19" s="14" t="str">
        <f t="shared" si="1"/>
        <v>Chosica - TRF1</v>
      </c>
      <c r="H19" s="14"/>
      <c r="I19" s="14" t="s">
        <v>136</v>
      </c>
      <c r="J19" s="14" t="s">
        <v>137</v>
      </c>
      <c r="K19" s="14" t="s">
        <v>50</v>
      </c>
      <c r="L19" s="14">
        <v>1951</v>
      </c>
      <c r="M19" s="25" t="s">
        <v>138</v>
      </c>
      <c r="N19" s="14" t="s">
        <v>139</v>
      </c>
      <c r="O19" s="115" t="s">
        <v>431</v>
      </c>
      <c r="P19" s="115" t="s">
        <v>327</v>
      </c>
      <c r="Q19" s="116">
        <v>17.2</v>
      </c>
      <c r="R19" s="9"/>
      <c r="S19" s="80" t="s">
        <v>573</v>
      </c>
      <c r="U19" s="79" t="str">
        <f t="shared" si="0"/>
        <v>60/10 - 17.2</v>
      </c>
      <c r="W19"/>
      <c r="X19"/>
    </row>
    <row r="20" spans="1:24" s="79" customFormat="1" ht="16.5" x14ac:dyDescent="0.3">
      <c r="A20"/>
      <c r="B20" s="1"/>
      <c r="C20" s="22">
        <v>18</v>
      </c>
      <c r="D20" s="14" t="s">
        <v>8</v>
      </c>
      <c r="E20" s="14">
        <v>17.2</v>
      </c>
      <c r="F20" s="14" t="s">
        <v>343</v>
      </c>
      <c r="G20" s="14" t="str">
        <f t="shared" si="1"/>
        <v>Chosica - TRF2</v>
      </c>
      <c r="H20" s="14"/>
      <c r="I20" s="14">
        <v>17.2</v>
      </c>
      <c r="J20" s="14" t="s">
        <v>121</v>
      </c>
      <c r="K20" s="14" t="s">
        <v>50</v>
      </c>
      <c r="L20" s="14">
        <v>1964</v>
      </c>
      <c r="M20" s="14" t="s">
        <v>122</v>
      </c>
      <c r="N20" s="14" t="s">
        <v>368</v>
      </c>
      <c r="O20" s="115" t="s">
        <v>431</v>
      </c>
      <c r="P20" s="115" t="s">
        <v>327</v>
      </c>
      <c r="Q20" s="116">
        <v>17.2</v>
      </c>
      <c r="R20" s="9"/>
      <c r="S20" s="80" t="s">
        <v>573</v>
      </c>
      <c r="U20" s="79" t="str">
        <f t="shared" si="0"/>
        <v>60/10 - 17.2</v>
      </c>
      <c r="W20"/>
      <c r="X20"/>
    </row>
    <row r="21" spans="1:24" s="79" customFormat="1" ht="16.5" customHeight="1" x14ac:dyDescent="0.3">
      <c r="A21"/>
      <c r="B21" s="1"/>
      <c r="C21" s="22">
        <v>19</v>
      </c>
      <c r="D21" s="14" t="s">
        <v>9</v>
      </c>
      <c r="E21" s="14">
        <v>50</v>
      </c>
      <c r="F21" s="14" t="s">
        <v>342</v>
      </c>
      <c r="G21" s="14" t="str">
        <f t="shared" si="1"/>
        <v>Galvez - TRF1</v>
      </c>
      <c r="H21" s="14"/>
      <c r="I21" s="14" t="s">
        <v>113</v>
      </c>
      <c r="J21" s="14" t="s">
        <v>112</v>
      </c>
      <c r="K21" s="14" t="s">
        <v>43</v>
      </c>
      <c r="L21" s="14">
        <v>2012</v>
      </c>
      <c r="M21" s="14">
        <v>60005317</v>
      </c>
      <c r="N21" s="14">
        <v>359111</v>
      </c>
      <c r="O21" s="118" t="s">
        <v>430</v>
      </c>
      <c r="P21" s="119" t="s">
        <v>327</v>
      </c>
      <c r="Q21" s="120">
        <v>50</v>
      </c>
      <c r="R21" s="9"/>
      <c r="S21" s="80" t="s">
        <v>573</v>
      </c>
      <c r="U21" s="79" t="str">
        <f t="shared" si="0"/>
        <v>60/10 - 50</v>
      </c>
      <c r="W21"/>
      <c r="X21"/>
    </row>
    <row r="22" spans="1:24" s="79" customFormat="1" ht="16.5" x14ac:dyDescent="0.3">
      <c r="A22"/>
      <c r="B22" s="1"/>
      <c r="C22" s="22">
        <v>20</v>
      </c>
      <c r="D22" s="14" t="s">
        <v>9</v>
      </c>
      <c r="E22" s="22">
        <v>25</v>
      </c>
      <c r="F22" s="14" t="s">
        <v>343</v>
      </c>
      <c r="G22" s="14" t="str">
        <f t="shared" si="1"/>
        <v>Galvez - TRF2</v>
      </c>
      <c r="H22" s="14"/>
      <c r="I22" s="14" t="s">
        <v>116</v>
      </c>
      <c r="J22" s="14" t="s">
        <v>140</v>
      </c>
      <c r="K22" s="14" t="s">
        <v>360</v>
      </c>
      <c r="L22" s="14" t="s">
        <v>361</v>
      </c>
      <c r="M22" s="25">
        <v>500058</v>
      </c>
      <c r="N22" s="25" t="s">
        <v>202</v>
      </c>
      <c r="O22" s="115" t="s">
        <v>431</v>
      </c>
      <c r="P22" s="116" t="s">
        <v>327</v>
      </c>
      <c r="Q22" s="116">
        <v>25</v>
      </c>
      <c r="R22" s="9"/>
      <c r="S22" s="80" t="s">
        <v>573</v>
      </c>
      <c r="U22" s="79" t="str">
        <f t="shared" si="0"/>
        <v>60/10 - 25</v>
      </c>
      <c r="W22"/>
      <c r="X22"/>
    </row>
    <row r="23" spans="1:24" s="30" customFormat="1" ht="16.5" x14ac:dyDescent="0.3">
      <c r="A23" s="28"/>
      <c r="B23" s="26"/>
      <c r="C23" s="22">
        <v>21</v>
      </c>
      <c r="D23" s="14" t="s">
        <v>9</v>
      </c>
      <c r="E23" s="22">
        <v>25</v>
      </c>
      <c r="F23" s="14" t="s">
        <v>344</v>
      </c>
      <c r="G23" s="14" t="str">
        <f t="shared" si="1"/>
        <v>Galvez - TRF3</v>
      </c>
      <c r="H23" s="14"/>
      <c r="I23" s="14">
        <v>25</v>
      </c>
      <c r="J23" s="14" t="s">
        <v>112</v>
      </c>
      <c r="K23" s="14" t="s">
        <v>287</v>
      </c>
      <c r="L23" s="14" t="s">
        <v>288</v>
      </c>
      <c r="M23" s="25" t="s">
        <v>114</v>
      </c>
      <c r="N23" s="25" t="s">
        <v>115</v>
      </c>
      <c r="O23" s="133" t="s">
        <v>563</v>
      </c>
      <c r="P23" s="133" t="s">
        <v>327</v>
      </c>
      <c r="Q23" s="134">
        <v>25</v>
      </c>
      <c r="R23" s="9"/>
      <c r="S23" s="80" t="s">
        <v>573</v>
      </c>
      <c r="U23" s="79" t="str">
        <f t="shared" si="0"/>
        <v>60/10 - 25</v>
      </c>
      <c r="W23"/>
      <c r="X23"/>
    </row>
    <row r="24" spans="1:24" s="79" customFormat="1" ht="16.5" customHeight="1" x14ac:dyDescent="0.3">
      <c r="A24"/>
      <c r="B24" s="1"/>
      <c r="C24" s="22">
        <v>22</v>
      </c>
      <c r="D24" s="14" t="s">
        <v>10</v>
      </c>
      <c r="E24" s="14">
        <v>50</v>
      </c>
      <c r="F24" s="14" t="s">
        <v>342</v>
      </c>
      <c r="G24" s="14" t="str">
        <f t="shared" si="1"/>
        <v>Huachipa - TRF1</v>
      </c>
      <c r="H24" s="14"/>
      <c r="I24" s="14" t="s">
        <v>113</v>
      </c>
      <c r="J24" s="14" t="s">
        <v>112</v>
      </c>
      <c r="K24" s="14" t="s">
        <v>43</v>
      </c>
      <c r="L24" s="14">
        <v>2013</v>
      </c>
      <c r="M24" s="25">
        <v>60005527</v>
      </c>
      <c r="N24" s="14">
        <v>364074</v>
      </c>
      <c r="O24" s="118" t="s">
        <v>430</v>
      </c>
      <c r="P24" s="119" t="s">
        <v>327</v>
      </c>
      <c r="Q24" s="120">
        <v>50</v>
      </c>
      <c r="R24" s="9"/>
      <c r="S24" s="80" t="s">
        <v>573</v>
      </c>
      <c r="U24" s="79" t="str">
        <f t="shared" si="0"/>
        <v>60/10 - 50</v>
      </c>
      <c r="W24"/>
      <c r="X24"/>
    </row>
    <row r="25" spans="1:24" s="79" customFormat="1" ht="16.5" customHeight="1" x14ac:dyDescent="0.3">
      <c r="A25"/>
      <c r="B25" s="1"/>
      <c r="C25" s="22">
        <v>23</v>
      </c>
      <c r="D25" s="14" t="s">
        <v>10</v>
      </c>
      <c r="E25" s="14">
        <v>50</v>
      </c>
      <c r="F25" s="14" t="s">
        <v>343</v>
      </c>
      <c r="G25" s="14" t="str">
        <f t="shared" si="1"/>
        <v>Huachipa - TRF2</v>
      </c>
      <c r="H25" s="14"/>
      <c r="I25" s="14">
        <v>50</v>
      </c>
      <c r="J25" s="14" t="s">
        <v>129</v>
      </c>
      <c r="K25" s="14" t="s">
        <v>119</v>
      </c>
      <c r="L25" s="14">
        <v>2014</v>
      </c>
      <c r="M25" s="14">
        <v>60006315</v>
      </c>
      <c r="N25" s="14">
        <v>146917</v>
      </c>
      <c r="O25" s="118" t="s">
        <v>430</v>
      </c>
      <c r="P25" s="118" t="s">
        <v>329</v>
      </c>
      <c r="Q25" s="120">
        <v>50</v>
      </c>
      <c r="R25" s="128" t="s">
        <v>218</v>
      </c>
      <c r="S25" s="80" t="s">
        <v>573</v>
      </c>
      <c r="U25" s="79" t="str">
        <f t="shared" si="0"/>
        <v>60/22.9 - 50</v>
      </c>
      <c r="W25"/>
      <c r="X25"/>
    </row>
    <row r="26" spans="1:24" s="79" customFormat="1" ht="16.5" x14ac:dyDescent="0.3">
      <c r="A26"/>
      <c r="B26" s="1"/>
      <c r="C26" s="22">
        <v>24</v>
      </c>
      <c r="D26" s="14" t="s">
        <v>11</v>
      </c>
      <c r="E26" s="14">
        <v>25</v>
      </c>
      <c r="F26" s="14" t="s">
        <v>342</v>
      </c>
      <c r="G26" s="14" t="str">
        <f t="shared" si="1"/>
        <v>La Planicie - TRF1</v>
      </c>
      <c r="H26" s="14"/>
      <c r="I26" s="14" t="s">
        <v>116</v>
      </c>
      <c r="J26" s="14" t="s">
        <v>112</v>
      </c>
      <c r="K26" s="14" t="s">
        <v>287</v>
      </c>
      <c r="L26" s="14" t="s">
        <v>310</v>
      </c>
      <c r="M26" s="25" t="s">
        <v>311</v>
      </c>
      <c r="N26" s="25" t="s">
        <v>248</v>
      </c>
      <c r="O26" s="115" t="s">
        <v>431</v>
      </c>
      <c r="P26" s="115" t="s">
        <v>327</v>
      </c>
      <c r="Q26" s="116">
        <v>25</v>
      </c>
      <c r="R26" s="9"/>
      <c r="S26" s="80" t="s">
        <v>573</v>
      </c>
      <c r="U26" s="79" t="str">
        <f t="shared" si="0"/>
        <v>60/10 - 25</v>
      </c>
      <c r="W26"/>
      <c r="X26"/>
    </row>
    <row r="27" spans="1:24" s="79" customFormat="1" ht="16.5" x14ac:dyDescent="0.3">
      <c r="A27"/>
      <c r="B27" s="1"/>
      <c r="C27" s="22">
        <v>25</v>
      </c>
      <c r="D27" s="14" t="s">
        <v>11</v>
      </c>
      <c r="E27" s="14">
        <v>25</v>
      </c>
      <c r="F27" s="14" t="s">
        <v>343</v>
      </c>
      <c r="G27" s="14" t="str">
        <f t="shared" si="1"/>
        <v>La Planicie - TRF2</v>
      </c>
      <c r="H27" s="14"/>
      <c r="I27" s="14">
        <v>25</v>
      </c>
      <c r="J27" s="14" t="s">
        <v>118</v>
      </c>
      <c r="K27" s="14" t="s">
        <v>325</v>
      </c>
      <c r="L27" s="14" t="s">
        <v>293</v>
      </c>
      <c r="M27" s="25" t="s">
        <v>147</v>
      </c>
      <c r="N27" s="25" t="s">
        <v>148</v>
      </c>
      <c r="O27" s="115" t="s">
        <v>431</v>
      </c>
      <c r="P27" s="115" t="s">
        <v>327</v>
      </c>
      <c r="Q27" s="116">
        <v>25</v>
      </c>
      <c r="R27" s="9"/>
      <c r="S27" s="80" t="s">
        <v>573</v>
      </c>
      <c r="U27" s="79" t="str">
        <f t="shared" si="0"/>
        <v>60/10 - 25</v>
      </c>
      <c r="W27"/>
      <c r="X27"/>
    </row>
    <row r="28" spans="1:24" s="79" customFormat="1" ht="16.5" x14ac:dyDescent="0.3">
      <c r="A28"/>
      <c r="B28" s="1"/>
      <c r="C28" s="22">
        <v>26</v>
      </c>
      <c r="D28" s="14" t="s">
        <v>12</v>
      </c>
      <c r="E28" s="14">
        <v>40</v>
      </c>
      <c r="F28" s="14" t="s">
        <v>342</v>
      </c>
      <c r="G28" s="14" t="str">
        <f t="shared" si="1"/>
        <v>Las Praderas - TRF1</v>
      </c>
      <c r="H28" s="14"/>
      <c r="I28" s="14" t="s">
        <v>123</v>
      </c>
      <c r="J28" s="14" t="s">
        <v>110</v>
      </c>
      <c r="K28" s="14" t="s">
        <v>50</v>
      </c>
      <c r="L28" s="14">
        <v>1997</v>
      </c>
      <c r="M28" s="14">
        <v>60000012</v>
      </c>
      <c r="N28" s="14" t="s">
        <v>149</v>
      </c>
      <c r="O28" s="115" t="s">
        <v>431</v>
      </c>
      <c r="P28" s="115" t="s">
        <v>328</v>
      </c>
      <c r="Q28" s="116">
        <v>40</v>
      </c>
      <c r="R28" s="9"/>
      <c r="S28" s="80" t="s">
        <v>573</v>
      </c>
      <c r="U28" s="79" t="str">
        <f t="shared" si="0"/>
        <v>60/22.9/10 - 40</v>
      </c>
      <c r="W28"/>
      <c r="X28"/>
    </row>
    <row r="29" spans="1:24" s="79" customFormat="1" ht="16.5" x14ac:dyDescent="0.3">
      <c r="A29"/>
      <c r="B29" s="1"/>
      <c r="C29" s="22">
        <v>27</v>
      </c>
      <c r="D29" s="14" t="s">
        <v>12</v>
      </c>
      <c r="E29" s="22">
        <v>25</v>
      </c>
      <c r="F29" s="14" t="s">
        <v>343</v>
      </c>
      <c r="G29" s="14" t="str">
        <f t="shared" si="1"/>
        <v>Las Praderas - TRF2</v>
      </c>
      <c r="H29" s="14"/>
      <c r="I29" s="14" t="s">
        <v>150</v>
      </c>
      <c r="J29" s="14" t="s">
        <v>110</v>
      </c>
      <c r="K29" s="14" t="s">
        <v>50</v>
      </c>
      <c r="L29" s="14">
        <v>1996</v>
      </c>
      <c r="M29" s="14">
        <v>50500514</v>
      </c>
      <c r="N29" s="14" t="s">
        <v>151</v>
      </c>
      <c r="O29" s="115" t="s">
        <v>431</v>
      </c>
      <c r="P29" s="115" t="s">
        <v>328</v>
      </c>
      <c r="Q29" s="116">
        <v>25</v>
      </c>
      <c r="R29" s="9"/>
      <c r="S29" s="80" t="s">
        <v>573</v>
      </c>
      <c r="U29" s="79" t="str">
        <f t="shared" si="0"/>
        <v>60/22.9/10 - 25</v>
      </c>
      <c r="W29"/>
      <c r="X29"/>
    </row>
    <row r="30" spans="1:24" s="79" customFormat="1" ht="16.5" x14ac:dyDescent="0.3">
      <c r="A30"/>
      <c r="B30" s="1"/>
      <c r="C30" s="22">
        <v>28</v>
      </c>
      <c r="D30" s="14" t="s">
        <v>12</v>
      </c>
      <c r="E30" s="14">
        <v>25</v>
      </c>
      <c r="F30" s="14" t="s">
        <v>344</v>
      </c>
      <c r="G30" s="14" t="str">
        <f t="shared" si="1"/>
        <v>Las Praderas - TRF3</v>
      </c>
      <c r="H30" s="14"/>
      <c r="I30" s="14" t="s">
        <v>152</v>
      </c>
      <c r="J30" s="14" t="s">
        <v>110</v>
      </c>
      <c r="K30" s="14" t="s">
        <v>50</v>
      </c>
      <c r="L30" s="14">
        <v>2000</v>
      </c>
      <c r="M30" s="14">
        <v>60001494</v>
      </c>
      <c r="N30" s="14" t="s">
        <v>153</v>
      </c>
      <c r="O30" s="115" t="s">
        <v>431</v>
      </c>
      <c r="P30" s="115" t="s">
        <v>328</v>
      </c>
      <c r="Q30" s="116">
        <v>25</v>
      </c>
      <c r="R30" s="9"/>
      <c r="S30" s="80" t="s">
        <v>573</v>
      </c>
      <c r="U30" s="79" t="str">
        <f t="shared" si="0"/>
        <v>60/22.9/10 - 25</v>
      </c>
      <c r="W30"/>
      <c r="X30"/>
    </row>
    <row r="31" spans="1:24" s="79" customFormat="1" ht="16.5" customHeight="1" x14ac:dyDescent="0.3">
      <c r="A31"/>
      <c r="B31" s="1"/>
      <c r="C31" s="22">
        <v>29</v>
      </c>
      <c r="D31" s="14" t="s">
        <v>13</v>
      </c>
      <c r="E31" s="14">
        <v>50</v>
      </c>
      <c r="F31" s="14" t="s">
        <v>342</v>
      </c>
      <c r="G31" s="14" t="str">
        <f t="shared" si="1"/>
        <v>Limatambo - TRF1</v>
      </c>
      <c r="H31" s="14"/>
      <c r="I31" s="14" t="s">
        <v>113</v>
      </c>
      <c r="J31" s="14" t="s">
        <v>112</v>
      </c>
      <c r="K31" s="14" t="s">
        <v>119</v>
      </c>
      <c r="L31" s="14">
        <v>2014</v>
      </c>
      <c r="M31" s="14">
        <v>60005805</v>
      </c>
      <c r="N31" s="14" t="s">
        <v>154</v>
      </c>
      <c r="O31" s="118" t="s">
        <v>430</v>
      </c>
      <c r="P31" s="119" t="s">
        <v>327</v>
      </c>
      <c r="Q31" s="120">
        <v>50</v>
      </c>
      <c r="R31" s="9"/>
      <c r="S31" s="80" t="s">
        <v>573</v>
      </c>
      <c r="U31" s="79" t="str">
        <f t="shared" si="0"/>
        <v>60/10 - 50</v>
      </c>
      <c r="W31"/>
      <c r="X31"/>
    </row>
    <row r="32" spans="1:24" s="79" customFormat="1" ht="16.5" customHeight="1" x14ac:dyDescent="0.3">
      <c r="A32"/>
      <c r="B32" s="1"/>
      <c r="C32" s="22">
        <v>30</v>
      </c>
      <c r="D32" s="14" t="s">
        <v>13</v>
      </c>
      <c r="E32" s="22">
        <v>40</v>
      </c>
      <c r="F32" s="14" t="s">
        <v>343</v>
      </c>
      <c r="G32" s="14" t="str">
        <f t="shared" si="1"/>
        <v>Limatambo - TRF2</v>
      </c>
      <c r="H32" s="14"/>
      <c r="I32" s="14" t="s">
        <v>109</v>
      </c>
      <c r="J32" s="14" t="s">
        <v>110</v>
      </c>
      <c r="K32" s="14" t="s">
        <v>50</v>
      </c>
      <c r="L32" s="14">
        <v>2008</v>
      </c>
      <c r="M32" s="14">
        <v>60003656</v>
      </c>
      <c r="N32" s="14" t="s">
        <v>155</v>
      </c>
      <c r="O32" s="118" t="s">
        <v>430</v>
      </c>
      <c r="P32" s="118" t="s">
        <v>328</v>
      </c>
      <c r="Q32" s="120">
        <v>40</v>
      </c>
      <c r="R32" s="9"/>
      <c r="S32" s="80" t="s">
        <v>573</v>
      </c>
      <c r="U32" s="79" t="str">
        <f t="shared" si="0"/>
        <v>60/22.9/10 - 40</v>
      </c>
      <c r="W32"/>
      <c r="X32"/>
    </row>
    <row r="33" spans="1:24" s="79" customFormat="1" ht="16.5" customHeight="1" x14ac:dyDescent="0.3">
      <c r="A33"/>
      <c r="B33" s="1"/>
      <c r="C33" s="22">
        <v>31</v>
      </c>
      <c r="D33" s="14" t="s">
        <v>13</v>
      </c>
      <c r="E33" s="14">
        <v>50</v>
      </c>
      <c r="F33" s="14" t="s">
        <v>344</v>
      </c>
      <c r="G33" s="14" t="str">
        <f t="shared" si="1"/>
        <v>Limatambo - TRF3</v>
      </c>
      <c r="H33" s="14"/>
      <c r="I33" s="14" t="s">
        <v>113</v>
      </c>
      <c r="J33" s="14" t="s">
        <v>112</v>
      </c>
      <c r="K33" s="14" t="s">
        <v>43</v>
      </c>
      <c r="L33" s="14">
        <v>2012</v>
      </c>
      <c r="M33" s="14">
        <v>60005501</v>
      </c>
      <c r="N33" s="14">
        <v>364075</v>
      </c>
      <c r="O33" s="118" t="s">
        <v>430</v>
      </c>
      <c r="P33" s="119" t="s">
        <v>327</v>
      </c>
      <c r="Q33" s="120">
        <v>50</v>
      </c>
      <c r="R33" s="9"/>
      <c r="S33" s="80" t="s">
        <v>573</v>
      </c>
      <c r="U33" s="79" t="str">
        <f t="shared" si="0"/>
        <v>60/10 - 50</v>
      </c>
      <c r="W33"/>
      <c r="X33"/>
    </row>
    <row r="34" spans="1:24" s="79" customFormat="1" ht="16.5" x14ac:dyDescent="0.3">
      <c r="A34"/>
      <c r="B34" s="1"/>
      <c r="C34" s="22">
        <v>32</v>
      </c>
      <c r="D34" s="14" t="s">
        <v>266</v>
      </c>
      <c r="E34" s="14">
        <v>40</v>
      </c>
      <c r="F34" s="14" t="s">
        <v>342</v>
      </c>
      <c r="G34" s="14" t="str">
        <f t="shared" si="1"/>
        <v>Ingenieros - TRF1</v>
      </c>
      <c r="H34" s="14"/>
      <c r="I34" s="14" t="s">
        <v>156</v>
      </c>
      <c r="J34" s="14" t="s">
        <v>112</v>
      </c>
      <c r="K34" s="14" t="s">
        <v>50</v>
      </c>
      <c r="L34" s="14">
        <v>1998</v>
      </c>
      <c r="M34" s="14">
        <v>60000007</v>
      </c>
      <c r="N34" s="14" t="s">
        <v>157</v>
      </c>
      <c r="O34" s="115" t="s">
        <v>431</v>
      </c>
      <c r="P34" s="115" t="s">
        <v>327</v>
      </c>
      <c r="Q34" s="116">
        <v>40</v>
      </c>
      <c r="R34" s="9"/>
      <c r="S34" s="80" t="s">
        <v>573</v>
      </c>
      <c r="U34" s="79" t="str">
        <f t="shared" si="0"/>
        <v>60/10 - 40</v>
      </c>
      <c r="W34"/>
      <c r="X34"/>
    </row>
    <row r="35" spans="1:24" s="79" customFormat="1" ht="16.5" customHeight="1" x14ac:dyDescent="0.3">
      <c r="A35"/>
      <c r="B35" s="1"/>
      <c r="C35" s="22">
        <v>33</v>
      </c>
      <c r="D35" s="14" t="s">
        <v>266</v>
      </c>
      <c r="E35" s="14">
        <v>50</v>
      </c>
      <c r="F35" s="14" t="s">
        <v>343</v>
      </c>
      <c r="G35" s="14" t="str">
        <f t="shared" si="1"/>
        <v>Ingenieros - TRF2</v>
      </c>
      <c r="H35" s="14"/>
      <c r="I35" s="14" t="s">
        <v>113</v>
      </c>
      <c r="J35" s="14" t="s">
        <v>129</v>
      </c>
      <c r="K35" s="14" t="s">
        <v>119</v>
      </c>
      <c r="L35" s="14">
        <v>2014</v>
      </c>
      <c r="M35" s="14">
        <v>60005890</v>
      </c>
      <c r="N35" s="14" t="s">
        <v>158</v>
      </c>
      <c r="O35" s="118" t="s">
        <v>430</v>
      </c>
      <c r="P35" s="119" t="s">
        <v>329</v>
      </c>
      <c r="Q35" s="120">
        <v>50</v>
      </c>
      <c r="R35" s="9"/>
      <c r="S35" s="80" t="s">
        <v>573</v>
      </c>
      <c r="U35" s="79" t="str">
        <f t="shared" si="0"/>
        <v>60/22.9 - 50</v>
      </c>
      <c r="W35"/>
      <c r="X35"/>
    </row>
    <row r="36" spans="1:24" s="79" customFormat="1" ht="16.5" customHeight="1" x14ac:dyDescent="0.3">
      <c r="A36"/>
      <c r="B36" s="1"/>
      <c r="C36" s="22">
        <v>34</v>
      </c>
      <c r="D36" s="14" t="s">
        <v>215</v>
      </c>
      <c r="E36" s="14">
        <v>40</v>
      </c>
      <c r="F36" s="14" t="s">
        <v>342</v>
      </c>
      <c r="G36" s="14" t="str">
        <f t="shared" si="1"/>
        <v>Lurín - TRF1</v>
      </c>
      <c r="H36" s="14"/>
      <c r="I36" s="14" t="s">
        <v>109</v>
      </c>
      <c r="J36" s="14" t="s">
        <v>110</v>
      </c>
      <c r="K36" s="14" t="s">
        <v>50</v>
      </c>
      <c r="L36" s="14">
        <v>2007</v>
      </c>
      <c r="M36" s="14">
        <v>60003469</v>
      </c>
      <c r="N36" s="14" t="s">
        <v>159</v>
      </c>
      <c r="O36" s="118" t="s">
        <v>430</v>
      </c>
      <c r="P36" s="118" t="s">
        <v>328</v>
      </c>
      <c r="Q36" s="120">
        <v>40</v>
      </c>
      <c r="R36" s="9"/>
      <c r="S36" s="80" t="s">
        <v>573</v>
      </c>
      <c r="U36" s="79" t="str">
        <f t="shared" si="0"/>
        <v>60/22.9/10 - 40</v>
      </c>
      <c r="W36"/>
      <c r="X36"/>
    </row>
    <row r="37" spans="1:24" s="79" customFormat="1" ht="16.5" customHeight="1" x14ac:dyDescent="0.3">
      <c r="A37"/>
      <c r="B37" s="1"/>
      <c r="C37" s="22">
        <v>35</v>
      </c>
      <c r="D37" s="14" t="s">
        <v>215</v>
      </c>
      <c r="E37" s="14">
        <v>50</v>
      </c>
      <c r="F37" s="14" t="s">
        <v>343</v>
      </c>
      <c r="G37" s="14" t="str">
        <f t="shared" si="1"/>
        <v>Lurín - TRF2</v>
      </c>
      <c r="H37" s="14"/>
      <c r="I37" s="14">
        <v>50</v>
      </c>
      <c r="J37" s="14" t="s">
        <v>129</v>
      </c>
      <c r="K37" s="14" t="s">
        <v>43</v>
      </c>
      <c r="L37" s="14">
        <v>2017</v>
      </c>
      <c r="M37" s="14">
        <v>60007457</v>
      </c>
      <c r="N37" s="14" t="s">
        <v>160</v>
      </c>
      <c r="O37" s="118" t="s">
        <v>430</v>
      </c>
      <c r="P37" s="119" t="s">
        <v>329</v>
      </c>
      <c r="Q37" s="120">
        <v>50</v>
      </c>
      <c r="R37" s="9"/>
      <c r="S37" s="80" t="s">
        <v>573</v>
      </c>
      <c r="U37" s="79" t="str">
        <f t="shared" si="0"/>
        <v>60/22.9 - 50</v>
      </c>
      <c r="W37"/>
      <c r="X37"/>
    </row>
    <row r="38" spans="1:24" s="79" customFormat="1" ht="16.5" x14ac:dyDescent="0.3">
      <c r="A38"/>
      <c r="B38" s="5"/>
      <c r="C38" s="22">
        <v>36</v>
      </c>
      <c r="D38" s="14" t="s">
        <v>47</v>
      </c>
      <c r="E38" s="14">
        <v>25</v>
      </c>
      <c r="F38" s="14" t="s">
        <v>342</v>
      </c>
      <c r="G38" s="14" t="str">
        <f t="shared" si="1"/>
        <v>Manchay - TRF1</v>
      </c>
      <c r="H38" s="14"/>
      <c r="I38" s="14">
        <v>25</v>
      </c>
      <c r="J38" s="14" t="s">
        <v>118</v>
      </c>
      <c r="K38" s="14" t="s">
        <v>50</v>
      </c>
      <c r="L38" s="14" t="s">
        <v>294</v>
      </c>
      <c r="M38" s="25" t="s">
        <v>161</v>
      </c>
      <c r="N38" s="25" t="s">
        <v>162</v>
      </c>
      <c r="O38" s="115" t="s">
        <v>431</v>
      </c>
      <c r="P38" s="115" t="s">
        <v>327</v>
      </c>
      <c r="Q38" s="116">
        <v>25</v>
      </c>
      <c r="R38" s="9"/>
      <c r="S38" s="80" t="s">
        <v>573</v>
      </c>
      <c r="U38" s="79" t="str">
        <f t="shared" si="0"/>
        <v>60/10 - 25</v>
      </c>
      <c r="W38"/>
      <c r="X38"/>
    </row>
    <row r="39" spans="1:24" s="79" customFormat="1" ht="16.5" x14ac:dyDescent="0.3">
      <c r="A39"/>
      <c r="B39" s="5"/>
      <c r="C39" s="22">
        <v>37</v>
      </c>
      <c r="D39" s="14" t="s">
        <v>47</v>
      </c>
      <c r="E39" s="14">
        <v>25</v>
      </c>
      <c r="F39" s="14" t="s">
        <v>343</v>
      </c>
      <c r="G39" s="14" t="str">
        <f t="shared" si="1"/>
        <v>Manchay - TRF2</v>
      </c>
      <c r="H39" s="14"/>
      <c r="I39" s="14" t="s">
        <v>163</v>
      </c>
      <c r="J39" s="14" t="s">
        <v>124</v>
      </c>
      <c r="K39" s="14" t="s">
        <v>119</v>
      </c>
      <c r="L39" s="14">
        <v>1998</v>
      </c>
      <c r="M39" s="14">
        <v>60000204</v>
      </c>
      <c r="N39" s="14" t="s">
        <v>164</v>
      </c>
      <c r="O39" s="115" t="s">
        <v>431</v>
      </c>
      <c r="P39" s="115" t="s">
        <v>328</v>
      </c>
      <c r="Q39" s="116">
        <v>25</v>
      </c>
      <c r="R39" s="9"/>
      <c r="S39" s="80" t="s">
        <v>573</v>
      </c>
      <c r="U39" s="79" t="str">
        <f t="shared" si="0"/>
        <v>60/22.9/10 - 25</v>
      </c>
      <c r="W39"/>
      <c r="X39"/>
    </row>
    <row r="40" spans="1:24" s="79" customFormat="1" ht="16.5" customHeight="1" x14ac:dyDescent="0.3">
      <c r="A40"/>
      <c r="B40" s="1"/>
      <c r="C40" s="22">
        <v>38</v>
      </c>
      <c r="D40" s="14" t="s">
        <v>14</v>
      </c>
      <c r="E40" s="14">
        <v>50</v>
      </c>
      <c r="F40" s="14" t="s">
        <v>342</v>
      </c>
      <c r="G40" s="14" t="str">
        <f t="shared" si="1"/>
        <v>Monterrico - TRF1</v>
      </c>
      <c r="H40" s="14"/>
      <c r="I40" s="14" t="s">
        <v>113</v>
      </c>
      <c r="J40" s="14" t="s">
        <v>129</v>
      </c>
      <c r="K40" s="14" t="s">
        <v>119</v>
      </c>
      <c r="L40" s="14">
        <v>2014</v>
      </c>
      <c r="M40" s="14">
        <v>60005809</v>
      </c>
      <c r="N40" s="14" t="s">
        <v>165</v>
      </c>
      <c r="O40" s="118" t="s">
        <v>430</v>
      </c>
      <c r="P40" s="119" t="s">
        <v>329</v>
      </c>
      <c r="Q40" s="120">
        <v>50</v>
      </c>
      <c r="R40" s="9"/>
      <c r="S40" s="80" t="s">
        <v>573</v>
      </c>
      <c r="U40" s="79" t="str">
        <f t="shared" si="0"/>
        <v>60/22.9 - 50</v>
      </c>
      <c r="W40"/>
      <c r="X40"/>
    </row>
    <row r="41" spans="1:24" s="84" customFormat="1" ht="16.5" x14ac:dyDescent="0.3">
      <c r="A41" s="24"/>
      <c r="B41" s="1"/>
      <c r="C41" s="22">
        <v>39</v>
      </c>
      <c r="D41" s="14" t="s">
        <v>14</v>
      </c>
      <c r="E41" s="14">
        <v>25</v>
      </c>
      <c r="F41" s="14" t="s">
        <v>343</v>
      </c>
      <c r="G41" s="14" t="str">
        <f t="shared" si="1"/>
        <v>Monterrico - TRF2</v>
      </c>
      <c r="H41" s="14"/>
      <c r="I41" s="14">
        <v>25</v>
      </c>
      <c r="J41" s="14" t="s">
        <v>118</v>
      </c>
      <c r="K41" s="14" t="s">
        <v>119</v>
      </c>
      <c r="L41" s="14" t="s">
        <v>332</v>
      </c>
      <c r="M41" s="25">
        <v>500069</v>
      </c>
      <c r="N41" s="25" t="s">
        <v>316</v>
      </c>
      <c r="O41" s="115" t="s">
        <v>431</v>
      </c>
      <c r="P41" s="115" t="s">
        <v>327</v>
      </c>
      <c r="Q41" s="116">
        <v>25</v>
      </c>
      <c r="R41" s="9"/>
      <c r="S41" s="80" t="s">
        <v>573</v>
      </c>
      <c r="U41" s="79" t="str">
        <f t="shared" si="0"/>
        <v>60/10 - 25</v>
      </c>
      <c r="W41"/>
      <c r="X41"/>
    </row>
    <row r="42" spans="1:24" s="79" customFormat="1" ht="16.5" customHeight="1" x14ac:dyDescent="0.3">
      <c r="A42"/>
      <c r="B42" s="1"/>
      <c r="C42" s="22">
        <v>40</v>
      </c>
      <c r="D42" s="14" t="s">
        <v>15</v>
      </c>
      <c r="E42" s="14">
        <v>40</v>
      </c>
      <c r="F42" s="14" t="s">
        <v>342</v>
      </c>
      <c r="G42" s="14" t="str">
        <f t="shared" si="1"/>
        <v>Neyra - TRF1</v>
      </c>
      <c r="H42" s="14"/>
      <c r="I42" s="14" t="s">
        <v>109</v>
      </c>
      <c r="J42" s="14" t="s">
        <v>110</v>
      </c>
      <c r="K42" s="14" t="s">
        <v>50</v>
      </c>
      <c r="L42" s="14">
        <v>2007</v>
      </c>
      <c r="M42" s="14">
        <v>60003457</v>
      </c>
      <c r="N42" s="14" t="s">
        <v>170</v>
      </c>
      <c r="O42" s="118" t="s">
        <v>430</v>
      </c>
      <c r="P42" s="118" t="s">
        <v>328</v>
      </c>
      <c r="Q42" s="120">
        <v>40</v>
      </c>
      <c r="R42" s="9"/>
      <c r="S42" s="80" t="s">
        <v>573</v>
      </c>
      <c r="U42" s="79" t="str">
        <f t="shared" si="0"/>
        <v>60/22.9/10 - 40</v>
      </c>
      <c r="W42"/>
      <c r="X42"/>
    </row>
    <row r="43" spans="1:24" s="79" customFormat="1" ht="16.5" customHeight="1" x14ac:dyDescent="0.3">
      <c r="A43"/>
      <c r="B43" s="1"/>
      <c r="C43" s="22">
        <v>41</v>
      </c>
      <c r="D43" s="14" t="s">
        <v>15</v>
      </c>
      <c r="E43" s="22">
        <v>50</v>
      </c>
      <c r="F43" s="14" t="s">
        <v>343</v>
      </c>
      <c r="G43" s="14" t="str">
        <f t="shared" si="1"/>
        <v>Neyra - TRF2</v>
      </c>
      <c r="H43" s="14"/>
      <c r="I43" s="14" t="s">
        <v>113</v>
      </c>
      <c r="J43" s="14" t="s">
        <v>112</v>
      </c>
      <c r="K43" s="14" t="s">
        <v>43</v>
      </c>
      <c r="L43" s="14">
        <v>2012</v>
      </c>
      <c r="M43" s="14">
        <v>60005381</v>
      </c>
      <c r="N43" s="14">
        <v>364073</v>
      </c>
      <c r="O43" s="118" t="s">
        <v>430</v>
      </c>
      <c r="P43" s="119" t="s">
        <v>327</v>
      </c>
      <c r="Q43" s="120">
        <v>50</v>
      </c>
      <c r="R43" s="9"/>
      <c r="S43" s="80" t="s">
        <v>573</v>
      </c>
      <c r="U43" s="79" t="str">
        <f t="shared" si="0"/>
        <v>60/10 - 50</v>
      </c>
      <c r="W43"/>
      <c r="X43"/>
    </row>
    <row r="44" spans="1:24" s="79" customFormat="1" ht="16.5" customHeight="1" x14ac:dyDescent="0.3">
      <c r="A44"/>
      <c r="B44" s="1"/>
      <c r="C44" s="22">
        <v>42</v>
      </c>
      <c r="D44" s="14" t="s">
        <v>15</v>
      </c>
      <c r="E44" s="14">
        <v>50</v>
      </c>
      <c r="F44" s="14" t="s">
        <v>344</v>
      </c>
      <c r="G44" s="14" t="str">
        <f t="shared" si="1"/>
        <v>Neyra - TRF3</v>
      </c>
      <c r="H44" s="14"/>
      <c r="I44" s="14" t="s">
        <v>113</v>
      </c>
      <c r="J44" s="14" t="s">
        <v>112</v>
      </c>
      <c r="K44" s="14" t="s">
        <v>119</v>
      </c>
      <c r="L44" s="14">
        <v>2014</v>
      </c>
      <c r="M44" s="14">
        <v>60005772</v>
      </c>
      <c r="N44" s="14" t="s">
        <v>171</v>
      </c>
      <c r="O44" s="118" t="s">
        <v>430</v>
      </c>
      <c r="P44" s="119" t="s">
        <v>327</v>
      </c>
      <c r="Q44" s="120">
        <v>50</v>
      </c>
      <c r="R44" s="9"/>
      <c r="S44" s="80" t="s">
        <v>573</v>
      </c>
      <c r="U44" s="79" t="str">
        <f t="shared" si="0"/>
        <v>60/10 - 50</v>
      </c>
      <c r="W44"/>
      <c r="X44"/>
    </row>
    <row r="45" spans="1:24" s="79" customFormat="1" ht="16.5" customHeight="1" x14ac:dyDescent="0.3">
      <c r="A45"/>
      <c r="B45" s="1"/>
      <c r="C45" s="22">
        <v>43</v>
      </c>
      <c r="D45" s="14" t="s">
        <v>16</v>
      </c>
      <c r="E45" s="14">
        <v>40</v>
      </c>
      <c r="F45" s="14" t="s">
        <v>342</v>
      </c>
      <c r="G45" s="14" t="str">
        <f t="shared" si="1"/>
        <v>Ñaña - TRF1</v>
      </c>
      <c r="H45" s="14"/>
      <c r="I45" s="14" t="s">
        <v>109</v>
      </c>
      <c r="J45" s="14" t="s">
        <v>110</v>
      </c>
      <c r="K45" s="14" t="s">
        <v>50</v>
      </c>
      <c r="L45" s="14">
        <v>2008</v>
      </c>
      <c r="M45" s="14">
        <v>60003638</v>
      </c>
      <c r="N45" s="14" t="s">
        <v>172</v>
      </c>
      <c r="O45" s="118" t="s">
        <v>430</v>
      </c>
      <c r="P45" s="118" t="s">
        <v>328</v>
      </c>
      <c r="Q45" s="120">
        <v>40</v>
      </c>
      <c r="R45" s="9"/>
      <c r="S45" s="80" t="s">
        <v>573</v>
      </c>
      <c r="U45" s="79" t="str">
        <f t="shared" si="0"/>
        <v>60/22.9/10 - 40</v>
      </c>
      <c r="W45"/>
      <c r="X45"/>
    </row>
    <row r="46" spans="1:24" s="79" customFormat="1" ht="16.5" x14ac:dyDescent="0.3">
      <c r="A46"/>
      <c r="B46" s="1"/>
      <c r="C46" s="22">
        <v>44</v>
      </c>
      <c r="D46" s="14" t="s">
        <v>17</v>
      </c>
      <c r="E46" s="14">
        <v>25</v>
      </c>
      <c r="F46" s="14" t="s">
        <v>342</v>
      </c>
      <c r="G46" s="14" t="str">
        <f t="shared" si="1"/>
        <v>Pachacamac - TRF1</v>
      </c>
      <c r="H46" s="14"/>
      <c r="I46" s="14" t="s">
        <v>116</v>
      </c>
      <c r="J46" s="14" t="s">
        <v>112</v>
      </c>
      <c r="K46" s="14" t="s">
        <v>295</v>
      </c>
      <c r="L46" s="14" t="s">
        <v>296</v>
      </c>
      <c r="M46" s="14">
        <v>500053</v>
      </c>
      <c r="N46" s="14" t="s">
        <v>173</v>
      </c>
      <c r="O46" s="115" t="s">
        <v>431</v>
      </c>
      <c r="P46" s="115" t="s">
        <v>327</v>
      </c>
      <c r="Q46" s="116">
        <v>25</v>
      </c>
      <c r="R46" s="9"/>
      <c r="S46" s="80" t="s">
        <v>573</v>
      </c>
      <c r="U46" s="79" t="str">
        <f t="shared" si="0"/>
        <v>60/10 - 25</v>
      </c>
      <c r="W46"/>
      <c r="X46"/>
    </row>
    <row r="47" spans="1:24" s="79" customFormat="1" ht="16.5" x14ac:dyDescent="0.3">
      <c r="A47"/>
      <c r="B47"/>
      <c r="C47" s="22">
        <v>45</v>
      </c>
      <c r="D47" s="14" t="s">
        <v>17</v>
      </c>
      <c r="E47" s="14">
        <v>25</v>
      </c>
      <c r="F47" s="14" t="s">
        <v>343</v>
      </c>
      <c r="G47" s="14" t="str">
        <f t="shared" si="1"/>
        <v>Pachacamac - TRF2</v>
      </c>
      <c r="H47" s="14"/>
      <c r="I47" s="14" t="s">
        <v>116</v>
      </c>
      <c r="J47" s="14" t="s">
        <v>140</v>
      </c>
      <c r="K47" s="14" t="s">
        <v>141</v>
      </c>
      <c r="L47" s="14">
        <v>1990</v>
      </c>
      <c r="M47" s="25" t="s">
        <v>142</v>
      </c>
      <c r="N47" s="25" t="s">
        <v>143</v>
      </c>
      <c r="O47" s="115" t="s">
        <v>431</v>
      </c>
      <c r="P47" s="115" t="s">
        <v>327</v>
      </c>
      <c r="Q47" s="116">
        <v>25</v>
      </c>
      <c r="R47" s="9"/>
      <c r="S47" s="80" t="s">
        <v>573</v>
      </c>
      <c r="T47" s="85"/>
      <c r="U47" s="79" t="str">
        <f t="shared" si="0"/>
        <v>60/10 - 25</v>
      </c>
      <c r="W47"/>
      <c r="X47"/>
    </row>
    <row r="48" spans="1:24" s="79" customFormat="1" ht="16.5" customHeight="1" x14ac:dyDescent="0.3">
      <c r="A48"/>
      <c r="B48" s="1"/>
      <c r="C48" s="22">
        <v>46</v>
      </c>
      <c r="D48" s="14" t="s">
        <v>18</v>
      </c>
      <c r="E48" s="14">
        <v>50</v>
      </c>
      <c r="F48" s="14" t="s">
        <v>342</v>
      </c>
      <c r="G48" s="14" t="str">
        <f t="shared" si="1"/>
        <v>Puente - TRF1</v>
      </c>
      <c r="H48" s="14"/>
      <c r="I48" s="14" t="s">
        <v>113</v>
      </c>
      <c r="J48" s="14" t="s">
        <v>118</v>
      </c>
      <c r="K48" s="14" t="s">
        <v>43</v>
      </c>
      <c r="L48" s="14">
        <v>2020</v>
      </c>
      <c r="M48" s="14">
        <v>60008764</v>
      </c>
      <c r="N48" s="14" t="s">
        <v>362</v>
      </c>
      <c r="O48" s="118" t="s">
        <v>430</v>
      </c>
      <c r="P48" s="119" t="s">
        <v>327</v>
      </c>
      <c r="Q48" s="120">
        <v>50</v>
      </c>
      <c r="R48" s="9"/>
      <c r="S48" s="80" t="s">
        <v>573</v>
      </c>
      <c r="U48" s="79" t="str">
        <f t="shared" si="0"/>
        <v>60/10 - 50</v>
      </c>
      <c r="W48"/>
      <c r="X48"/>
    </row>
    <row r="49" spans="1:24" s="84" customFormat="1" ht="16.5" customHeight="1" x14ac:dyDescent="0.3">
      <c r="A49" s="24"/>
      <c r="B49" s="24"/>
      <c r="C49" s="22">
        <v>47</v>
      </c>
      <c r="D49" s="14" t="s">
        <v>18</v>
      </c>
      <c r="E49" s="14">
        <v>40</v>
      </c>
      <c r="F49" s="14" t="s">
        <v>343</v>
      </c>
      <c r="G49" s="14" t="str">
        <f t="shared" si="1"/>
        <v>Puente - TRF2</v>
      </c>
      <c r="H49" s="14"/>
      <c r="I49" s="14" t="s">
        <v>207</v>
      </c>
      <c r="J49" s="14" t="s">
        <v>124</v>
      </c>
      <c r="K49" s="14" t="s">
        <v>50</v>
      </c>
      <c r="L49" s="14">
        <v>2007</v>
      </c>
      <c r="M49" s="14">
        <v>60003489</v>
      </c>
      <c r="N49" s="14" t="s">
        <v>243</v>
      </c>
      <c r="O49" s="118" t="s">
        <v>430</v>
      </c>
      <c r="P49" s="118" t="s">
        <v>328</v>
      </c>
      <c r="Q49" s="120">
        <v>40</v>
      </c>
      <c r="R49" s="9"/>
      <c r="S49" s="80" t="s">
        <v>573</v>
      </c>
      <c r="T49" s="86"/>
      <c r="U49" s="79" t="str">
        <f t="shared" si="0"/>
        <v>60/22.9/10 - 40</v>
      </c>
      <c r="W49"/>
      <c r="X49"/>
    </row>
    <row r="50" spans="1:24" s="79" customFormat="1" ht="16.5" customHeight="1" x14ac:dyDescent="0.3">
      <c r="A50"/>
      <c r="B50" s="1"/>
      <c r="C50" s="22">
        <v>48</v>
      </c>
      <c r="D50" s="14" t="s">
        <v>18</v>
      </c>
      <c r="E50" s="14">
        <v>50</v>
      </c>
      <c r="F50" s="14" t="s">
        <v>344</v>
      </c>
      <c r="G50" s="14" t="str">
        <f t="shared" si="1"/>
        <v>Puente - TRF3</v>
      </c>
      <c r="H50" s="14"/>
      <c r="I50" s="14" t="s">
        <v>113</v>
      </c>
      <c r="J50" s="14" t="s">
        <v>112</v>
      </c>
      <c r="K50" s="14" t="s">
        <v>43</v>
      </c>
      <c r="L50" s="14">
        <v>2011</v>
      </c>
      <c r="M50" s="14">
        <v>60004381</v>
      </c>
      <c r="N50" s="14">
        <v>338118</v>
      </c>
      <c r="O50" s="118" t="s">
        <v>430</v>
      </c>
      <c r="P50" s="119" t="s">
        <v>327</v>
      </c>
      <c r="Q50" s="120">
        <v>50</v>
      </c>
      <c r="R50" s="9"/>
      <c r="S50" s="80" t="s">
        <v>573</v>
      </c>
      <c r="U50" s="79" t="str">
        <f t="shared" si="0"/>
        <v>60/10 - 50</v>
      </c>
      <c r="W50"/>
      <c r="X50"/>
    </row>
    <row r="51" spans="1:24" s="79" customFormat="1" ht="16.5" customHeight="1" x14ac:dyDescent="0.3">
      <c r="A51"/>
      <c r="B51" s="1"/>
      <c r="C51" s="22">
        <v>49</v>
      </c>
      <c r="D51" s="14" t="s">
        <v>19</v>
      </c>
      <c r="E51" s="14">
        <v>50</v>
      </c>
      <c r="F51" s="14" t="s">
        <v>342</v>
      </c>
      <c r="G51" s="14" t="str">
        <f t="shared" si="1"/>
        <v>Salamanca - TRF1</v>
      </c>
      <c r="H51" s="14"/>
      <c r="I51" s="14" t="s">
        <v>113</v>
      </c>
      <c r="J51" s="14" t="s">
        <v>112</v>
      </c>
      <c r="K51" s="14" t="s">
        <v>43</v>
      </c>
      <c r="L51" s="14">
        <v>2013</v>
      </c>
      <c r="M51" s="14">
        <v>60005530</v>
      </c>
      <c r="N51" s="14">
        <v>364077</v>
      </c>
      <c r="O51" s="118" t="s">
        <v>430</v>
      </c>
      <c r="P51" s="119" t="s">
        <v>327</v>
      </c>
      <c r="Q51" s="120">
        <v>50</v>
      </c>
      <c r="R51" s="9"/>
      <c r="S51" s="80" t="s">
        <v>573</v>
      </c>
      <c r="U51" s="79" t="str">
        <f t="shared" si="0"/>
        <v>60/10 - 50</v>
      </c>
      <c r="W51"/>
      <c r="X51"/>
    </row>
    <row r="52" spans="1:24" s="79" customFormat="1" ht="16.5" x14ac:dyDescent="0.3">
      <c r="A52"/>
      <c r="B52" s="1"/>
      <c r="C52" s="22">
        <v>50</v>
      </c>
      <c r="D52" s="14" t="s">
        <v>19</v>
      </c>
      <c r="E52" s="14">
        <v>40</v>
      </c>
      <c r="F52" s="14" t="s">
        <v>343</v>
      </c>
      <c r="G52" s="14" t="str">
        <f t="shared" si="1"/>
        <v>Salamanca - TRF2</v>
      </c>
      <c r="H52" s="14"/>
      <c r="I52" s="14" t="s">
        <v>156</v>
      </c>
      <c r="J52" s="14" t="s">
        <v>112</v>
      </c>
      <c r="K52" s="14" t="s">
        <v>50</v>
      </c>
      <c r="L52" s="14">
        <v>1998</v>
      </c>
      <c r="M52" s="14">
        <v>60000203</v>
      </c>
      <c r="N52" s="14" t="s">
        <v>177</v>
      </c>
      <c r="O52" s="115" t="s">
        <v>431</v>
      </c>
      <c r="P52" s="115" t="s">
        <v>327</v>
      </c>
      <c r="Q52" s="116">
        <v>40</v>
      </c>
      <c r="R52" s="9"/>
      <c r="S52" s="80" t="s">
        <v>573</v>
      </c>
      <c r="U52" s="79" t="str">
        <f t="shared" si="0"/>
        <v>60/10 - 40</v>
      </c>
      <c r="W52"/>
      <c r="X52"/>
    </row>
    <row r="53" spans="1:24" s="79" customFormat="1" ht="16.5" x14ac:dyDescent="0.3">
      <c r="A53"/>
      <c r="B53" s="1"/>
      <c r="C53" s="22">
        <v>51</v>
      </c>
      <c r="D53" s="14" t="s">
        <v>20</v>
      </c>
      <c r="E53" s="14">
        <v>25</v>
      </c>
      <c r="F53" s="14" t="s">
        <v>342</v>
      </c>
      <c r="G53" s="14" t="str">
        <f t="shared" si="1"/>
        <v>San Bartolo - TRF1</v>
      </c>
      <c r="H53" s="14"/>
      <c r="I53" s="14">
        <v>25</v>
      </c>
      <c r="J53" s="14" t="s">
        <v>112</v>
      </c>
      <c r="K53" s="14" t="s">
        <v>326</v>
      </c>
      <c r="L53" s="14" t="s">
        <v>297</v>
      </c>
      <c r="M53" s="25" t="s">
        <v>178</v>
      </c>
      <c r="N53" s="25" t="s">
        <v>179</v>
      </c>
      <c r="O53" s="115" t="s">
        <v>431</v>
      </c>
      <c r="P53" s="115" t="s">
        <v>327</v>
      </c>
      <c r="Q53" s="116">
        <v>25</v>
      </c>
      <c r="R53" s="9"/>
      <c r="S53" s="80" t="s">
        <v>573</v>
      </c>
      <c r="U53" s="79" t="str">
        <f t="shared" si="0"/>
        <v>60/10 - 25</v>
      </c>
      <c r="W53"/>
      <c r="X53"/>
    </row>
    <row r="54" spans="1:24" s="79" customFormat="1" ht="16.5" x14ac:dyDescent="0.3">
      <c r="A54"/>
      <c r="B54" s="1"/>
      <c r="C54" s="22">
        <v>52</v>
      </c>
      <c r="D54" s="14" t="s">
        <v>20</v>
      </c>
      <c r="E54" s="14">
        <v>25</v>
      </c>
      <c r="F54" s="14" t="s">
        <v>343</v>
      </c>
      <c r="G54" s="14" t="str">
        <f t="shared" si="1"/>
        <v>San Bartolo - TRF2</v>
      </c>
      <c r="H54" s="14"/>
      <c r="I54" s="14" t="s">
        <v>163</v>
      </c>
      <c r="J54" s="14" t="s">
        <v>110</v>
      </c>
      <c r="K54" s="14" t="s">
        <v>50</v>
      </c>
      <c r="L54" s="14">
        <v>2005</v>
      </c>
      <c r="M54" s="14">
        <v>60003004</v>
      </c>
      <c r="N54" s="14" t="s">
        <v>180</v>
      </c>
      <c r="O54" s="115" t="s">
        <v>431</v>
      </c>
      <c r="P54" s="115" t="s">
        <v>328</v>
      </c>
      <c r="Q54" s="116">
        <v>25</v>
      </c>
      <c r="R54" s="9"/>
      <c r="S54" s="80" t="s">
        <v>573</v>
      </c>
      <c r="U54" s="79" t="str">
        <f t="shared" si="0"/>
        <v>60/22.9/10 - 25</v>
      </c>
      <c r="W54"/>
      <c r="X54"/>
    </row>
    <row r="55" spans="1:24" s="79" customFormat="1" ht="16.5" customHeight="1" x14ac:dyDescent="0.3">
      <c r="A55"/>
      <c r="B55" s="1"/>
      <c r="C55" s="22">
        <v>53</v>
      </c>
      <c r="D55" s="22" t="s">
        <v>21</v>
      </c>
      <c r="E55" s="14">
        <v>50</v>
      </c>
      <c r="F55" s="14" t="s">
        <v>342</v>
      </c>
      <c r="G55" s="14" t="str">
        <f t="shared" si="1"/>
        <v>San Isidro - TRF1</v>
      </c>
      <c r="H55" s="14"/>
      <c r="I55" s="14" t="s">
        <v>113</v>
      </c>
      <c r="J55" s="14" t="s">
        <v>112</v>
      </c>
      <c r="K55" s="14" t="s">
        <v>43</v>
      </c>
      <c r="L55" s="14">
        <v>2012</v>
      </c>
      <c r="M55" s="14">
        <v>60005325</v>
      </c>
      <c r="N55" s="14">
        <v>359110</v>
      </c>
      <c r="O55" s="118" t="s">
        <v>430</v>
      </c>
      <c r="P55" s="119" t="s">
        <v>327</v>
      </c>
      <c r="Q55" s="120">
        <v>50</v>
      </c>
      <c r="R55" s="9"/>
      <c r="S55" s="80" t="s">
        <v>573</v>
      </c>
      <c r="U55" s="79" t="str">
        <f t="shared" si="0"/>
        <v>60/10 - 50</v>
      </c>
      <c r="W55"/>
      <c r="X55"/>
    </row>
    <row r="56" spans="1:24" s="79" customFormat="1" ht="16.5" x14ac:dyDescent="0.3">
      <c r="A56"/>
      <c r="B56" s="1"/>
      <c r="C56" s="22">
        <v>54</v>
      </c>
      <c r="D56" s="22" t="s">
        <v>21</v>
      </c>
      <c r="E56" s="22">
        <v>25</v>
      </c>
      <c r="F56" s="14" t="s">
        <v>343</v>
      </c>
      <c r="G56" s="14" t="str">
        <f t="shared" si="1"/>
        <v>San Isidro - TRF2</v>
      </c>
      <c r="H56" s="14"/>
      <c r="I56" s="14">
        <v>25</v>
      </c>
      <c r="J56" s="14" t="s">
        <v>112</v>
      </c>
      <c r="K56" s="14" t="s">
        <v>325</v>
      </c>
      <c r="L56" s="14" t="s">
        <v>298</v>
      </c>
      <c r="M56" s="25" t="s">
        <v>181</v>
      </c>
      <c r="N56" s="25" t="s">
        <v>182</v>
      </c>
      <c r="O56" s="115" t="s">
        <v>431</v>
      </c>
      <c r="P56" s="115" t="s">
        <v>327</v>
      </c>
      <c r="Q56" s="116">
        <v>25</v>
      </c>
      <c r="R56" s="9"/>
      <c r="S56" s="80" t="s">
        <v>573</v>
      </c>
      <c r="U56" s="79" t="str">
        <f t="shared" si="0"/>
        <v>60/10 - 25</v>
      </c>
      <c r="W56"/>
      <c r="X56"/>
    </row>
    <row r="57" spans="1:24" s="79" customFormat="1" ht="16.5" customHeight="1" x14ac:dyDescent="0.3">
      <c r="A57"/>
      <c r="B57" s="1"/>
      <c r="C57" s="22">
        <v>55</v>
      </c>
      <c r="D57" s="22" t="s">
        <v>21</v>
      </c>
      <c r="E57" s="14">
        <v>40</v>
      </c>
      <c r="F57" s="14" t="s">
        <v>344</v>
      </c>
      <c r="G57" s="14" t="str">
        <f t="shared" si="1"/>
        <v>San Isidro - TRF3</v>
      </c>
      <c r="H57" s="14"/>
      <c r="I57" s="14" t="s">
        <v>109</v>
      </c>
      <c r="J57" s="14" t="s">
        <v>110</v>
      </c>
      <c r="K57" s="14" t="s">
        <v>50</v>
      </c>
      <c r="L57" s="14">
        <v>2007</v>
      </c>
      <c r="M57" s="14">
        <v>60003386</v>
      </c>
      <c r="N57" s="14" t="s">
        <v>183</v>
      </c>
      <c r="O57" s="118" t="s">
        <v>430</v>
      </c>
      <c r="P57" s="118" t="s">
        <v>328</v>
      </c>
      <c r="Q57" s="120">
        <v>40</v>
      </c>
      <c r="R57" s="9"/>
      <c r="S57" s="80" t="s">
        <v>573</v>
      </c>
      <c r="U57" s="79" t="str">
        <f t="shared" si="0"/>
        <v>60/22.9/10 - 40</v>
      </c>
      <c r="W57"/>
      <c r="X57"/>
    </row>
    <row r="58" spans="1:24" s="79" customFormat="1" ht="16.5" customHeight="1" x14ac:dyDescent="0.3">
      <c r="A58"/>
      <c r="B58" s="1"/>
      <c r="C58" s="22">
        <v>56</v>
      </c>
      <c r="D58" s="14" t="s">
        <v>4</v>
      </c>
      <c r="E58" s="14">
        <v>50</v>
      </c>
      <c r="F58" s="14" t="s">
        <v>342</v>
      </c>
      <c r="G58" s="14" t="str">
        <f t="shared" si="1"/>
        <v>San Juan - TRF1</v>
      </c>
      <c r="H58" s="14"/>
      <c r="I58" s="14">
        <v>50</v>
      </c>
      <c r="J58" s="14" t="s">
        <v>118</v>
      </c>
      <c r="K58" s="14" t="s">
        <v>43</v>
      </c>
      <c r="L58" s="14">
        <v>2013</v>
      </c>
      <c r="M58" s="14">
        <v>60005611</v>
      </c>
      <c r="N58" s="14">
        <v>364078</v>
      </c>
      <c r="O58" s="118" t="s">
        <v>430</v>
      </c>
      <c r="P58" s="119" t="s">
        <v>327</v>
      </c>
      <c r="Q58" s="120">
        <v>50</v>
      </c>
      <c r="R58" s="128" t="s">
        <v>218</v>
      </c>
      <c r="S58" s="80" t="s">
        <v>573</v>
      </c>
      <c r="U58" s="79" t="str">
        <f t="shared" si="0"/>
        <v>60/10 - 50</v>
      </c>
      <c r="W58"/>
      <c r="X58"/>
    </row>
    <row r="59" spans="1:24" s="79" customFormat="1" ht="16.5" x14ac:dyDescent="0.3">
      <c r="A59"/>
      <c r="B59" s="1"/>
      <c r="C59" s="22">
        <v>57</v>
      </c>
      <c r="D59" s="14" t="s">
        <v>22</v>
      </c>
      <c r="E59" s="14">
        <v>10</v>
      </c>
      <c r="F59" s="14" t="s">
        <v>342</v>
      </c>
      <c r="G59" s="14" t="str">
        <f t="shared" si="1"/>
        <v>San Mateo - TRF1</v>
      </c>
      <c r="H59" s="14"/>
      <c r="I59" s="14" t="s">
        <v>184</v>
      </c>
      <c r="J59" s="14" t="s">
        <v>185</v>
      </c>
      <c r="K59" s="14" t="s">
        <v>119</v>
      </c>
      <c r="L59" s="14">
        <v>1998</v>
      </c>
      <c r="M59" s="14">
        <v>60000504</v>
      </c>
      <c r="N59" s="14" t="s">
        <v>186</v>
      </c>
      <c r="O59" s="115" t="s">
        <v>431</v>
      </c>
      <c r="P59" s="115" t="s">
        <v>328</v>
      </c>
      <c r="Q59" s="116">
        <v>10</v>
      </c>
      <c r="R59" s="9"/>
      <c r="S59" s="80" t="s">
        <v>573</v>
      </c>
      <c r="U59" s="79" t="str">
        <f t="shared" si="0"/>
        <v>60/22.9/10 - 10</v>
      </c>
      <c r="W59"/>
      <c r="X59"/>
    </row>
    <row r="60" spans="1:24" s="79" customFormat="1" ht="16.5" x14ac:dyDescent="0.3">
      <c r="A60"/>
      <c r="B60" s="1"/>
      <c r="C60" s="22">
        <v>58</v>
      </c>
      <c r="D60" s="14" t="s">
        <v>23</v>
      </c>
      <c r="E60" s="14">
        <v>25</v>
      </c>
      <c r="F60" s="14" t="s">
        <v>342</v>
      </c>
      <c r="G60" s="14" t="str">
        <f t="shared" si="1"/>
        <v>San Vicente - TRF1</v>
      </c>
      <c r="H60" s="14"/>
      <c r="I60" s="14" t="s">
        <v>116</v>
      </c>
      <c r="J60" s="14" t="s">
        <v>140</v>
      </c>
      <c r="K60" s="14" t="s">
        <v>50</v>
      </c>
      <c r="L60" s="14">
        <v>1995</v>
      </c>
      <c r="M60" s="14">
        <v>50500507</v>
      </c>
      <c r="N60" s="14" t="s">
        <v>187</v>
      </c>
      <c r="O60" s="115" t="s">
        <v>431</v>
      </c>
      <c r="P60" s="115" t="s">
        <v>327</v>
      </c>
      <c r="Q60" s="116">
        <v>25</v>
      </c>
      <c r="R60" s="9"/>
      <c r="S60" s="80" t="s">
        <v>573</v>
      </c>
      <c r="U60" s="79" t="str">
        <f t="shared" si="0"/>
        <v>60/10 - 25</v>
      </c>
      <c r="W60"/>
      <c r="X60"/>
    </row>
    <row r="61" spans="1:24" s="79" customFormat="1" ht="16.5" customHeight="1" x14ac:dyDescent="0.3">
      <c r="A61"/>
      <c r="B61" s="1"/>
      <c r="C61" s="22">
        <v>59</v>
      </c>
      <c r="D61" s="14" t="s">
        <v>23</v>
      </c>
      <c r="E61" s="14">
        <v>25</v>
      </c>
      <c r="F61" s="14" t="s">
        <v>343</v>
      </c>
      <c r="G61" s="14" t="str">
        <f t="shared" si="1"/>
        <v>San Vicente - TRF2</v>
      </c>
      <c r="H61" s="14"/>
      <c r="I61" s="14" t="s">
        <v>163</v>
      </c>
      <c r="J61" s="14" t="s">
        <v>110</v>
      </c>
      <c r="K61" s="14" t="s">
        <v>119</v>
      </c>
      <c r="L61" s="14">
        <v>2016</v>
      </c>
      <c r="M61" s="14">
        <v>60007215</v>
      </c>
      <c r="N61" s="14">
        <v>147400</v>
      </c>
      <c r="O61" s="118" t="s">
        <v>430</v>
      </c>
      <c r="P61" s="118" t="s">
        <v>328</v>
      </c>
      <c r="Q61" s="120">
        <v>25</v>
      </c>
      <c r="R61" s="9"/>
      <c r="S61" s="80" t="s">
        <v>573</v>
      </c>
      <c r="U61" s="79" t="str">
        <f t="shared" si="0"/>
        <v>60/22.9/10 - 25</v>
      </c>
      <c r="W61"/>
      <c r="X61"/>
    </row>
    <row r="62" spans="1:24" s="79" customFormat="1" ht="16.5" customHeight="1" x14ac:dyDescent="0.3">
      <c r="A62"/>
      <c r="B62" s="1"/>
      <c r="C62" s="22">
        <v>60</v>
      </c>
      <c r="D62" s="14" t="s">
        <v>24</v>
      </c>
      <c r="E62" s="14">
        <v>50</v>
      </c>
      <c r="F62" s="14" t="s">
        <v>342</v>
      </c>
      <c r="G62" s="14" t="str">
        <f t="shared" si="1"/>
        <v>Santa Anita - TRF1</v>
      </c>
      <c r="H62" s="14"/>
      <c r="I62" s="14">
        <v>50</v>
      </c>
      <c r="J62" s="14" t="s">
        <v>107</v>
      </c>
      <c r="K62" s="14" t="s">
        <v>43</v>
      </c>
      <c r="L62" s="14">
        <v>2017</v>
      </c>
      <c r="M62" s="14">
        <v>60007547</v>
      </c>
      <c r="N62" s="14" t="s">
        <v>188</v>
      </c>
      <c r="O62" s="118" t="s">
        <v>430</v>
      </c>
      <c r="P62" s="119" t="s">
        <v>329</v>
      </c>
      <c r="Q62" s="120">
        <v>50</v>
      </c>
      <c r="R62" s="9"/>
      <c r="S62" s="80" t="s">
        <v>573</v>
      </c>
      <c r="U62" s="79" t="str">
        <f t="shared" si="0"/>
        <v>60/22.9 - 50</v>
      </c>
      <c r="W62"/>
      <c r="X62"/>
    </row>
    <row r="63" spans="1:24" s="79" customFormat="1" ht="16.5" customHeight="1" x14ac:dyDescent="0.3">
      <c r="A63"/>
      <c r="B63" s="1"/>
      <c r="C63" s="22">
        <v>61</v>
      </c>
      <c r="D63" s="14" t="s">
        <v>24</v>
      </c>
      <c r="E63" s="14">
        <v>50</v>
      </c>
      <c r="F63" s="14" t="s">
        <v>343</v>
      </c>
      <c r="G63" s="14" t="str">
        <f t="shared" si="1"/>
        <v>Santa Anita - TRF2</v>
      </c>
      <c r="H63" s="14"/>
      <c r="I63" s="14" t="s">
        <v>113</v>
      </c>
      <c r="J63" s="14" t="s">
        <v>112</v>
      </c>
      <c r="K63" s="14" t="s">
        <v>119</v>
      </c>
      <c r="L63" s="14">
        <v>2014</v>
      </c>
      <c r="M63" s="14">
        <v>60006149</v>
      </c>
      <c r="N63" s="14">
        <v>146918</v>
      </c>
      <c r="O63" s="118" t="s">
        <v>430</v>
      </c>
      <c r="P63" s="119" t="s">
        <v>327</v>
      </c>
      <c r="Q63" s="120">
        <v>50</v>
      </c>
      <c r="R63" s="9"/>
      <c r="S63" s="80" t="s">
        <v>573</v>
      </c>
      <c r="U63" s="79" t="str">
        <f t="shared" si="0"/>
        <v>60/10 - 50</v>
      </c>
      <c r="W63"/>
      <c r="X63"/>
    </row>
    <row r="64" spans="1:24" s="79" customFormat="1" ht="16.5" customHeight="1" x14ac:dyDescent="0.3">
      <c r="A64"/>
      <c r="B64" s="1"/>
      <c r="C64" s="22">
        <v>62</v>
      </c>
      <c r="D64" s="14" t="s">
        <v>25</v>
      </c>
      <c r="E64" s="14">
        <v>50</v>
      </c>
      <c r="F64" s="14" t="s">
        <v>342</v>
      </c>
      <c r="G64" s="14" t="str">
        <f t="shared" si="1"/>
        <v>Santa Clara - TRF1</v>
      </c>
      <c r="H64" s="14"/>
      <c r="I64" s="14" t="s">
        <v>113</v>
      </c>
      <c r="J64" s="14" t="s">
        <v>129</v>
      </c>
      <c r="K64" s="14" t="s">
        <v>325</v>
      </c>
      <c r="L64" s="14" t="s">
        <v>554</v>
      </c>
      <c r="M64" s="14">
        <v>60006097</v>
      </c>
      <c r="N64" s="14" t="s">
        <v>146</v>
      </c>
      <c r="O64" s="118" t="s">
        <v>430</v>
      </c>
      <c r="P64" s="119" t="s">
        <v>329</v>
      </c>
      <c r="Q64" s="120">
        <v>50</v>
      </c>
      <c r="R64" s="130" t="s">
        <v>560</v>
      </c>
      <c r="S64" s="80" t="s">
        <v>573</v>
      </c>
      <c r="U64" s="79" t="str">
        <f t="shared" si="0"/>
        <v>60/22.9 - 50</v>
      </c>
      <c r="W64"/>
      <c r="X64"/>
    </row>
    <row r="65" spans="1:24" s="79" customFormat="1" ht="16.5" x14ac:dyDescent="0.3">
      <c r="A65"/>
      <c r="B65" s="1"/>
      <c r="C65" s="22">
        <v>63</v>
      </c>
      <c r="D65" s="14" t="s">
        <v>25</v>
      </c>
      <c r="E65" s="14">
        <v>25</v>
      </c>
      <c r="F65" s="14" t="s">
        <v>343</v>
      </c>
      <c r="G65" s="14" t="str">
        <f t="shared" si="1"/>
        <v>Santa Clara - TRF2</v>
      </c>
      <c r="H65" s="14"/>
      <c r="I65" s="14" t="s">
        <v>116</v>
      </c>
      <c r="J65" s="14" t="s">
        <v>140</v>
      </c>
      <c r="K65" s="14" t="s">
        <v>50</v>
      </c>
      <c r="L65" s="14">
        <v>1995</v>
      </c>
      <c r="M65" s="14">
        <v>50500508</v>
      </c>
      <c r="N65" s="14" t="s">
        <v>190</v>
      </c>
      <c r="O65" s="115" t="s">
        <v>431</v>
      </c>
      <c r="P65" s="115" t="s">
        <v>327</v>
      </c>
      <c r="Q65" s="116">
        <v>25</v>
      </c>
      <c r="R65" s="9"/>
      <c r="S65" s="80" t="s">
        <v>573</v>
      </c>
      <c r="U65" s="79" t="str">
        <f t="shared" si="0"/>
        <v>60/10 - 25</v>
      </c>
      <c r="W65"/>
      <c r="X65"/>
    </row>
    <row r="66" spans="1:24" s="79" customFormat="1" ht="16.5" x14ac:dyDescent="0.3">
      <c r="A66"/>
      <c r="B66" s="1"/>
      <c r="C66" s="22">
        <v>64</v>
      </c>
      <c r="D66" s="14" t="s">
        <v>26</v>
      </c>
      <c r="E66" s="14">
        <v>5</v>
      </c>
      <c r="F66" s="14" t="s">
        <v>342</v>
      </c>
      <c r="G66" s="14" t="str">
        <f t="shared" si="1"/>
        <v>Surco - TRF1</v>
      </c>
      <c r="H66" s="14"/>
      <c r="I66" s="14" t="s">
        <v>191</v>
      </c>
      <c r="J66" s="14" t="s">
        <v>192</v>
      </c>
      <c r="K66" s="14" t="s">
        <v>193</v>
      </c>
      <c r="L66" s="14">
        <v>1966</v>
      </c>
      <c r="M66" s="25" t="s">
        <v>194</v>
      </c>
      <c r="N66" s="25" t="s">
        <v>195</v>
      </c>
      <c r="O66" s="115" t="s">
        <v>431</v>
      </c>
      <c r="P66" s="115" t="s">
        <v>327</v>
      </c>
      <c r="Q66" s="116">
        <v>5</v>
      </c>
      <c r="R66" s="9"/>
      <c r="S66" s="80" t="s">
        <v>573</v>
      </c>
      <c r="U66" s="79" t="str">
        <f t="shared" si="0"/>
        <v>60/10 - 5</v>
      </c>
      <c r="W66"/>
      <c r="X66"/>
    </row>
    <row r="67" spans="1:24" s="79" customFormat="1" ht="16.5" customHeight="1" x14ac:dyDescent="0.3">
      <c r="A67"/>
      <c r="B67" s="5"/>
      <c r="C67" s="22">
        <v>65</v>
      </c>
      <c r="D67" s="14" t="s">
        <v>196</v>
      </c>
      <c r="E67" s="14">
        <v>50</v>
      </c>
      <c r="F67" s="14" t="s">
        <v>342</v>
      </c>
      <c r="G67" s="14" t="str">
        <f t="shared" si="1"/>
        <v>Vertientes - TRF1</v>
      </c>
      <c r="H67" s="14"/>
      <c r="I67" s="14">
        <v>50</v>
      </c>
      <c r="J67" s="14" t="s">
        <v>118</v>
      </c>
      <c r="K67" s="14" t="s">
        <v>119</v>
      </c>
      <c r="L67" s="14">
        <v>2018</v>
      </c>
      <c r="M67" s="14">
        <v>60008244</v>
      </c>
      <c r="N67" s="14" t="s">
        <v>197</v>
      </c>
      <c r="O67" s="118" t="s">
        <v>430</v>
      </c>
      <c r="P67" s="119" t="s">
        <v>327</v>
      </c>
      <c r="Q67" s="120">
        <v>50</v>
      </c>
      <c r="R67" s="9"/>
      <c r="S67" s="80" t="s">
        <v>573</v>
      </c>
      <c r="U67" s="79" t="str">
        <f t="shared" ref="U67:U73" si="3">+P67&amp;" - "&amp;Q67</f>
        <v>60/10 - 50</v>
      </c>
      <c r="W67"/>
      <c r="X67"/>
    </row>
    <row r="68" spans="1:24" s="79" customFormat="1" ht="16.5" x14ac:dyDescent="0.3">
      <c r="A68"/>
      <c r="B68" s="5"/>
      <c r="C68" s="22">
        <v>66</v>
      </c>
      <c r="D68" s="14" t="s">
        <v>196</v>
      </c>
      <c r="E68" s="14">
        <v>25</v>
      </c>
      <c r="F68" s="14" t="s">
        <v>343</v>
      </c>
      <c r="G68" s="14" t="str">
        <f t="shared" ref="G68:G73" si="4">+D68&amp;" - "&amp;F68</f>
        <v>Vertientes - TRF2</v>
      </c>
      <c r="H68" s="14"/>
      <c r="I68" s="14" t="s">
        <v>198</v>
      </c>
      <c r="J68" s="14" t="s">
        <v>124</v>
      </c>
      <c r="K68" s="14" t="s">
        <v>287</v>
      </c>
      <c r="L68" s="14" t="s">
        <v>299</v>
      </c>
      <c r="M68" s="14">
        <v>60000273</v>
      </c>
      <c r="N68" s="14" t="s">
        <v>199</v>
      </c>
      <c r="O68" s="115" t="s">
        <v>431</v>
      </c>
      <c r="P68" s="115" t="s">
        <v>328</v>
      </c>
      <c r="Q68" s="116">
        <v>25</v>
      </c>
      <c r="R68" s="9"/>
      <c r="S68" s="80" t="s">
        <v>573</v>
      </c>
      <c r="U68" s="79" t="str">
        <f t="shared" si="3"/>
        <v>60/22.9/10 - 25</v>
      </c>
      <c r="W68"/>
      <c r="X68"/>
    </row>
    <row r="69" spans="1:24" s="79" customFormat="1" ht="16.5" x14ac:dyDescent="0.3">
      <c r="A69"/>
      <c r="B69" s="1"/>
      <c r="C69" s="22">
        <v>67</v>
      </c>
      <c r="D69" s="14" t="s">
        <v>27</v>
      </c>
      <c r="E69" s="14">
        <v>25</v>
      </c>
      <c r="F69" s="14" t="s">
        <v>342</v>
      </c>
      <c r="G69" s="14" t="str">
        <f t="shared" si="4"/>
        <v>Villa El Salvador - TRF1</v>
      </c>
      <c r="H69" s="14"/>
      <c r="I69" s="14" t="s">
        <v>116</v>
      </c>
      <c r="J69" s="14" t="s">
        <v>140</v>
      </c>
      <c r="K69" s="14" t="s">
        <v>119</v>
      </c>
      <c r="L69" s="14" t="s">
        <v>307</v>
      </c>
      <c r="M69" s="25" t="s">
        <v>359</v>
      </c>
      <c r="N69" s="25" t="s">
        <v>249</v>
      </c>
      <c r="O69" s="115" t="s">
        <v>431</v>
      </c>
      <c r="P69" s="115" t="s">
        <v>327</v>
      </c>
      <c r="Q69" s="116">
        <v>25</v>
      </c>
      <c r="R69" s="9"/>
      <c r="S69" s="80" t="s">
        <v>573</v>
      </c>
      <c r="U69" s="79" t="str">
        <f t="shared" si="3"/>
        <v>60/10 - 25</v>
      </c>
      <c r="W69"/>
      <c r="X69"/>
    </row>
    <row r="70" spans="1:24" s="79" customFormat="1" ht="16.5" x14ac:dyDescent="0.3">
      <c r="A70"/>
      <c r="B70" s="1"/>
      <c r="C70" s="22">
        <v>68</v>
      </c>
      <c r="D70" s="14" t="s">
        <v>27</v>
      </c>
      <c r="E70" s="14">
        <v>25</v>
      </c>
      <c r="F70" s="14" t="s">
        <v>343</v>
      </c>
      <c r="G70" s="14" t="str">
        <f t="shared" si="4"/>
        <v>Villa El Salvador - TRF2</v>
      </c>
      <c r="H70" s="14"/>
      <c r="I70" s="14">
        <v>25</v>
      </c>
      <c r="J70" s="14" t="s">
        <v>272</v>
      </c>
      <c r="K70" s="14" t="s">
        <v>325</v>
      </c>
      <c r="L70" s="14" t="s">
        <v>320</v>
      </c>
      <c r="M70" s="14">
        <v>500070</v>
      </c>
      <c r="N70" s="14" t="s">
        <v>251</v>
      </c>
      <c r="O70" s="115" t="s">
        <v>431</v>
      </c>
      <c r="P70" s="115" t="s">
        <v>327</v>
      </c>
      <c r="Q70" s="116">
        <v>25</v>
      </c>
      <c r="R70" s="9"/>
      <c r="S70" s="80" t="s">
        <v>573</v>
      </c>
      <c r="U70" s="79" t="str">
        <f t="shared" si="3"/>
        <v>60/10 - 25</v>
      </c>
      <c r="W70"/>
      <c r="X70"/>
    </row>
    <row r="71" spans="1:24" s="79" customFormat="1" ht="16.5" x14ac:dyDescent="0.3">
      <c r="A71"/>
      <c r="B71" s="1"/>
      <c r="C71" s="22">
        <v>69</v>
      </c>
      <c r="D71" s="14" t="s">
        <v>28</v>
      </c>
      <c r="E71" s="14">
        <v>25</v>
      </c>
      <c r="F71" s="14" t="s">
        <v>342</v>
      </c>
      <c r="G71" s="14" t="str">
        <f t="shared" si="4"/>
        <v>Villa Maria - TRF1</v>
      </c>
      <c r="H71" s="14"/>
      <c r="I71" s="14" t="s">
        <v>116</v>
      </c>
      <c r="J71" s="14" t="s">
        <v>140</v>
      </c>
      <c r="K71" s="14" t="s">
        <v>50</v>
      </c>
      <c r="L71" s="14">
        <v>1993</v>
      </c>
      <c r="M71" s="25" t="s">
        <v>203</v>
      </c>
      <c r="N71" s="25" t="s">
        <v>204</v>
      </c>
      <c r="O71" s="115" t="s">
        <v>431</v>
      </c>
      <c r="P71" s="115" t="s">
        <v>327</v>
      </c>
      <c r="Q71" s="116">
        <v>25</v>
      </c>
      <c r="R71" s="9"/>
      <c r="S71" s="80" t="s">
        <v>573</v>
      </c>
      <c r="U71" s="79" t="str">
        <f t="shared" si="3"/>
        <v>60/10 - 25</v>
      </c>
      <c r="W71"/>
      <c r="X71"/>
    </row>
    <row r="72" spans="1:24" s="84" customFormat="1" ht="16.5" x14ac:dyDescent="0.3">
      <c r="A72" s="24"/>
      <c r="B72" s="1"/>
      <c r="C72" s="22">
        <v>70</v>
      </c>
      <c r="D72" s="14" t="s">
        <v>412</v>
      </c>
      <c r="E72" s="14">
        <v>25</v>
      </c>
      <c r="F72" s="14" t="s">
        <v>343</v>
      </c>
      <c r="G72" s="14" t="str">
        <f t="shared" si="4"/>
        <v>Villa María - TRF2</v>
      </c>
      <c r="H72" s="14"/>
      <c r="I72" s="14" t="s">
        <v>116</v>
      </c>
      <c r="J72" s="14" t="s">
        <v>140</v>
      </c>
      <c r="K72" s="14" t="s">
        <v>584</v>
      </c>
      <c r="L72" s="14" t="s">
        <v>414</v>
      </c>
      <c r="M72" s="14" t="s">
        <v>144</v>
      </c>
      <c r="N72" s="14" t="s">
        <v>145</v>
      </c>
      <c r="O72" s="115" t="s">
        <v>431</v>
      </c>
      <c r="P72" s="115" t="s">
        <v>327</v>
      </c>
      <c r="Q72" s="116">
        <v>25</v>
      </c>
      <c r="R72" s="9"/>
      <c r="S72" s="80" t="s">
        <v>573</v>
      </c>
      <c r="U72" s="79" t="str">
        <f t="shared" si="3"/>
        <v>60/10 - 25</v>
      </c>
      <c r="W72"/>
      <c r="X72"/>
    </row>
    <row r="73" spans="1:24" s="79" customFormat="1" ht="16.5" x14ac:dyDescent="0.3">
      <c r="A73"/>
      <c r="B73" s="1"/>
      <c r="C73" s="22">
        <v>71</v>
      </c>
      <c r="D73" s="14" t="s">
        <v>28</v>
      </c>
      <c r="E73" s="14">
        <v>40</v>
      </c>
      <c r="F73" s="14" t="s">
        <v>344</v>
      </c>
      <c r="G73" s="14" t="str">
        <f t="shared" si="4"/>
        <v>Villa Maria - TRF3</v>
      </c>
      <c r="H73" s="14"/>
      <c r="I73" s="14" t="s">
        <v>207</v>
      </c>
      <c r="J73" s="14" t="s">
        <v>110</v>
      </c>
      <c r="K73" s="14" t="s">
        <v>50</v>
      </c>
      <c r="L73" s="14">
        <v>2005</v>
      </c>
      <c r="M73" s="14">
        <v>60003003</v>
      </c>
      <c r="N73" s="14" t="s">
        <v>208</v>
      </c>
      <c r="O73" s="115" t="s">
        <v>431</v>
      </c>
      <c r="P73" s="115" t="s">
        <v>328</v>
      </c>
      <c r="Q73" s="116">
        <v>40</v>
      </c>
      <c r="R73" s="9"/>
      <c r="S73" s="80" t="s">
        <v>573</v>
      </c>
      <c r="U73" s="79" t="str">
        <f t="shared" si="3"/>
        <v>60/22.9/10 - 40</v>
      </c>
      <c r="W73"/>
      <c r="X73"/>
    </row>
    <row r="74" spans="1:24" ht="16.5" x14ac:dyDescent="0.3">
      <c r="U74" s="79"/>
    </row>
    <row r="75" spans="1:24" s="79" customFormat="1" ht="31.5" x14ac:dyDescent="0.3">
      <c r="A75"/>
      <c r="B75"/>
      <c r="C75" s="64" t="s">
        <v>31</v>
      </c>
      <c r="D75" s="40" t="s">
        <v>32</v>
      </c>
      <c r="E75" s="40" t="s">
        <v>33</v>
      </c>
      <c r="F75" s="40" t="s">
        <v>34</v>
      </c>
      <c r="G75" s="41"/>
      <c r="H75" s="41"/>
      <c r="I75" s="40" t="s">
        <v>35</v>
      </c>
      <c r="J75" s="65" t="s">
        <v>36</v>
      </c>
      <c r="K75" s="40" t="s">
        <v>37</v>
      </c>
      <c r="L75" s="65" t="s">
        <v>38</v>
      </c>
      <c r="M75" s="40" t="s">
        <v>216</v>
      </c>
      <c r="N75" s="60" t="s">
        <v>217</v>
      </c>
      <c r="O75" s="106" t="s">
        <v>517</v>
      </c>
      <c r="P75" s="106" t="s">
        <v>511</v>
      </c>
      <c r="Q75" s="106" t="s">
        <v>512</v>
      </c>
      <c r="R75" s="8" t="s">
        <v>242</v>
      </c>
      <c r="S75" s="132"/>
      <c r="W75"/>
    </row>
    <row r="76" spans="1:24" s="79" customFormat="1" ht="16.5" x14ac:dyDescent="0.3">
      <c r="A76"/>
      <c r="B76"/>
      <c r="C76" s="22">
        <v>72</v>
      </c>
      <c r="D76" s="14" t="s">
        <v>54</v>
      </c>
      <c r="E76" s="14">
        <v>17.2</v>
      </c>
      <c r="F76" s="14" t="s">
        <v>218</v>
      </c>
      <c r="G76" s="14" t="str">
        <f t="shared" ref="G76:G86" si="5">+D76&amp;" - "&amp;F76</f>
        <v>Asia - Reserva</v>
      </c>
      <c r="H76" s="14"/>
      <c r="I76" s="14" t="s">
        <v>135</v>
      </c>
      <c r="J76" s="14" t="s">
        <v>269</v>
      </c>
      <c r="K76" s="14" t="s">
        <v>167</v>
      </c>
      <c r="L76" s="14">
        <v>1982</v>
      </c>
      <c r="M76" s="14" t="s">
        <v>258</v>
      </c>
      <c r="N76" s="14" t="s">
        <v>259</v>
      </c>
      <c r="O76" s="94" t="s">
        <v>431</v>
      </c>
      <c r="P76" s="94" t="s">
        <v>327</v>
      </c>
      <c r="Q76" s="108">
        <v>17.2</v>
      </c>
      <c r="R76" s="129" t="s">
        <v>218</v>
      </c>
      <c r="S76" s="80" t="s">
        <v>558</v>
      </c>
      <c r="T76" s="85"/>
      <c r="U76" s="79" t="str">
        <f t="shared" ref="U76:U86" si="6">+P76&amp;" - "&amp;Q76</f>
        <v>60/10 - 17.2</v>
      </c>
      <c r="W76" t="s">
        <v>569</v>
      </c>
      <c r="X76" s="79">
        <f>+COUNTIFS($U$76:$U$86,W76)</f>
        <v>2</v>
      </c>
    </row>
    <row r="77" spans="1:24" s="79" customFormat="1" ht="16.5" x14ac:dyDescent="0.3">
      <c r="A77"/>
      <c r="B77"/>
      <c r="C77" s="22">
        <v>73</v>
      </c>
      <c r="D77" s="14" t="s">
        <v>20</v>
      </c>
      <c r="E77" s="14">
        <v>17.2</v>
      </c>
      <c r="F77" s="14" t="s">
        <v>218</v>
      </c>
      <c r="G77" s="14" t="str">
        <f t="shared" si="5"/>
        <v>San Bartolo - Reserva</v>
      </c>
      <c r="H77" s="14"/>
      <c r="I77" s="14" t="s">
        <v>135</v>
      </c>
      <c r="J77" s="14" t="s">
        <v>269</v>
      </c>
      <c r="K77" s="14" t="s">
        <v>167</v>
      </c>
      <c r="L77" s="14">
        <v>1982</v>
      </c>
      <c r="M77" s="14">
        <v>500066</v>
      </c>
      <c r="N77" s="14" t="s">
        <v>260</v>
      </c>
      <c r="O77" s="94" t="s">
        <v>431</v>
      </c>
      <c r="P77" s="94" t="s">
        <v>327</v>
      </c>
      <c r="Q77" s="108">
        <v>17.2</v>
      </c>
      <c r="R77" s="129" t="s">
        <v>218</v>
      </c>
      <c r="S77" s="80" t="s">
        <v>558</v>
      </c>
      <c r="T77" s="85"/>
      <c r="U77" s="79" t="str">
        <f t="shared" si="6"/>
        <v>60/10 - 17.2</v>
      </c>
      <c r="W77" t="s">
        <v>568</v>
      </c>
      <c r="X77" s="79">
        <f t="shared" ref="X77:X81" si="7">+COUNTIFS($U$76:$U$86,W77)</f>
        <v>2</v>
      </c>
    </row>
    <row r="78" spans="1:24" s="84" customFormat="1" ht="16.5" x14ac:dyDescent="0.3">
      <c r="A78" s="24"/>
      <c r="B78" s="24"/>
      <c r="C78" s="22">
        <v>74</v>
      </c>
      <c r="D78" s="14" t="s">
        <v>6</v>
      </c>
      <c r="E78" s="14">
        <v>25</v>
      </c>
      <c r="F78" s="14" t="s">
        <v>218</v>
      </c>
      <c r="G78" s="14" t="str">
        <f t="shared" si="5"/>
        <v>Bujama - Reserva</v>
      </c>
      <c r="H78" s="14"/>
      <c r="I78" s="14" t="s">
        <v>163</v>
      </c>
      <c r="J78" s="14" t="s">
        <v>270</v>
      </c>
      <c r="K78" s="14" t="s">
        <v>50</v>
      </c>
      <c r="L78" s="14">
        <v>2005</v>
      </c>
      <c r="M78" s="14">
        <v>60002888</v>
      </c>
      <c r="N78" s="14" t="s">
        <v>244</v>
      </c>
      <c r="O78" s="94" t="s">
        <v>431</v>
      </c>
      <c r="P78" s="94" t="s">
        <v>328</v>
      </c>
      <c r="Q78" s="108">
        <v>25</v>
      </c>
      <c r="R78" s="129" t="s">
        <v>218</v>
      </c>
      <c r="S78" s="80" t="s">
        <v>558</v>
      </c>
      <c r="T78" s="86"/>
      <c r="U78" s="79" t="str">
        <f t="shared" si="6"/>
        <v>60/22.9/10 - 25</v>
      </c>
      <c r="W78" t="s">
        <v>565</v>
      </c>
      <c r="X78" s="79">
        <f t="shared" si="7"/>
        <v>2</v>
      </c>
    </row>
    <row r="79" spans="1:24" s="79" customFormat="1" ht="16.5" x14ac:dyDescent="0.3">
      <c r="A79"/>
      <c r="B79" s="1"/>
      <c r="C79" s="22">
        <v>75</v>
      </c>
      <c r="D79" s="19" t="s">
        <v>21</v>
      </c>
      <c r="E79" s="17">
        <v>25</v>
      </c>
      <c r="F79" s="11" t="s">
        <v>218</v>
      </c>
      <c r="G79" s="14" t="str">
        <f t="shared" si="5"/>
        <v>San Isidro - Reserva</v>
      </c>
      <c r="H79" s="14"/>
      <c r="I79" s="11" t="s">
        <v>163</v>
      </c>
      <c r="J79" s="17" t="s">
        <v>124</v>
      </c>
      <c r="K79" s="11" t="s">
        <v>119</v>
      </c>
      <c r="L79" s="17">
        <v>2002</v>
      </c>
      <c r="M79" s="11">
        <v>60001997</v>
      </c>
      <c r="N79" s="17" t="s">
        <v>254</v>
      </c>
      <c r="O79" s="94" t="s">
        <v>431</v>
      </c>
      <c r="P79" s="94" t="s">
        <v>328</v>
      </c>
      <c r="Q79" s="108">
        <v>25</v>
      </c>
      <c r="R79" s="129" t="s">
        <v>218</v>
      </c>
      <c r="S79" s="80" t="s">
        <v>558</v>
      </c>
      <c r="U79" s="79" t="str">
        <f t="shared" si="6"/>
        <v>60/22.9/10 - 25</v>
      </c>
      <c r="W79" t="s">
        <v>575</v>
      </c>
      <c r="X79" s="79">
        <f t="shared" si="7"/>
        <v>1</v>
      </c>
    </row>
    <row r="80" spans="1:24" s="79" customFormat="1" ht="16.5" x14ac:dyDescent="0.3">
      <c r="A80"/>
      <c r="B80" s="1"/>
      <c r="C80" s="22">
        <v>76</v>
      </c>
      <c r="D80" s="14" t="s">
        <v>25</v>
      </c>
      <c r="E80" s="14">
        <v>40</v>
      </c>
      <c r="F80" s="14"/>
      <c r="G80" s="14" t="str">
        <f t="shared" si="5"/>
        <v xml:space="preserve">Santa Clara - </v>
      </c>
      <c r="H80" s="14"/>
      <c r="I80" s="14" t="s">
        <v>109</v>
      </c>
      <c r="J80" s="14" t="s">
        <v>110</v>
      </c>
      <c r="K80" s="14" t="s">
        <v>50</v>
      </c>
      <c r="L80" s="14">
        <v>2006</v>
      </c>
      <c r="M80" s="14">
        <v>60003223</v>
      </c>
      <c r="N80" s="14" t="s">
        <v>189</v>
      </c>
      <c r="O80" s="118" t="s">
        <v>430</v>
      </c>
      <c r="P80" s="118" t="s">
        <v>328</v>
      </c>
      <c r="Q80" s="120">
        <v>40</v>
      </c>
      <c r="R80" s="130" t="s">
        <v>561</v>
      </c>
      <c r="S80" s="80" t="s">
        <v>558</v>
      </c>
      <c r="U80" s="79" t="str">
        <f t="shared" si="6"/>
        <v>60/22.9/10 - 40</v>
      </c>
      <c r="W80" t="s">
        <v>567</v>
      </c>
      <c r="X80" s="79">
        <f t="shared" si="7"/>
        <v>3</v>
      </c>
    </row>
    <row r="81" spans="1:24" s="79" customFormat="1" ht="16.5" x14ac:dyDescent="0.3">
      <c r="A81"/>
      <c r="B81" s="1"/>
      <c r="C81" s="22">
        <v>77</v>
      </c>
      <c r="D81" s="14" t="s">
        <v>25</v>
      </c>
      <c r="E81" s="14">
        <v>12.5</v>
      </c>
      <c r="F81" s="11" t="s">
        <v>218</v>
      </c>
      <c r="G81" s="14" t="str">
        <f t="shared" si="5"/>
        <v>Santa Clara - Reserva</v>
      </c>
      <c r="H81" s="14"/>
      <c r="I81" s="14" t="s">
        <v>247</v>
      </c>
      <c r="J81" s="14" t="s">
        <v>271</v>
      </c>
      <c r="K81" s="12" t="s">
        <v>275</v>
      </c>
      <c r="L81" s="18" t="s">
        <v>306</v>
      </c>
      <c r="M81" s="12" t="s">
        <v>245</v>
      </c>
      <c r="N81" s="18" t="s">
        <v>246</v>
      </c>
      <c r="O81" s="94" t="s">
        <v>431</v>
      </c>
      <c r="P81" s="94" t="s">
        <v>327</v>
      </c>
      <c r="Q81" s="108">
        <v>12.5</v>
      </c>
      <c r="R81" s="129" t="s">
        <v>218</v>
      </c>
      <c r="S81" s="80" t="s">
        <v>558</v>
      </c>
      <c r="U81" s="79" t="str">
        <f t="shared" si="6"/>
        <v>60/10 - 12.5</v>
      </c>
      <c r="W81" t="s">
        <v>566</v>
      </c>
      <c r="X81" s="79">
        <f t="shared" si="7"/>
        <v>1</v>
      </c>
    </row>
    <row r="82" spans="1:24" ht="16.5" x14ac:dyDescent="0.3">
      <c r="C82" s="22">
        <v>78</v>
      </c>
      <c r="D82" s="14" t="s">
        <v>28</v>
      </c>
      <c r="E82" s="22">
        <v>25</v>
      </c>
      <c r="F82" s="14" t="s">
        <v>218</v>
      </c>
      <c r="G82" s="14" t="str">
        <f>+D82&amp;" - "&amp;F82</f>
        <v>Villa Maria - Reserva</v>
      </c>
      <c r="H82" s="14"/>
      <c r="I82" s="14" t="s">
        <v>116</v>
      </c>
      <c r="J82" s="14" t="s">
        <v>166</v>
      </c>
      <c r="K82" s="14" t="s">
        <v>167</v>
      </c>
      <c r="L82" s="14">
        <v>1980</v>
      </c>
      <c r="M82" s="25" t="s">
        <v>205</v>
      </c>
      <c r="N82" s="25" t="s">
        <v>206</v>
      </c>
      <c r="O82" s="121" t="s">
        <v>431</v>
      </c>
      <c r="P82" s="121" t="s">
        <v>327</v>
      </c>
      <c r="Q82" s="122">
        <v>25</v>
      </c>
      <c r="R82" s="129" t="s">
        <v>218</v>
      </c>
      <c r="S82" s="80" t="s">
        <v>558</v>
      </c>
      <c r="U82" s="79" t="str">
        <f t="shared" si="6"/>
        <v>60/10 - 25</v>
      </c>
    </row>
    <row r="83" spans="1:24" s="79" customFormat="1" ht="16.5" x14ac:dyDescent="0.3">
      <c r="A83"/>
      <c r="B83" s="1"/>
      <c r="C83" s="22">
        <v>79</v>
      </c>
      <c r="D83" s="14" t="s">
        <v>339</v>
      </c>
      <c r="E83" s="14">
        <v>50</v>
      </c>
      <c r="F83" s="14"/>
      <c r="G83" s="14" t="str">
        <f t="shared" si="5"/>
        <v xml:space="preserve">Delcrosa (Ex SJ-TRF1) - </v>
      </c>
      <c r="H83" s="14"/>
      <c r="I83" s="14" t="s">
        <v>113</v>
      </c>
      <c r="J83" s="14" t="s">
        <v>112</v>
      </c>
      <c r="K83" s="14" t="s">
        <v>43</v>
      </c>
      <c r="L83" s="14">
        <v>2013</v>
      </c>
      <c r="M83" s="14">
        <v>60005455</v>
      </c>
      <c r="N83" s="14">
        <v>364076</v>
      </c>
      <c r="O83" s="118" t="s">
        <v>430</v>
      </c>
      <c r="P83" s="119" t="s">
        <v>327</v>
      </c>
      <c r="Q83" s="118">
        <v>50</v>
      </c>
      <c r="R83" s="130" t="s">
        <v>562</v>
      </c>
      <c r="S83" s="80" t="s">
        <v>338</v>
      </c>
      <c r="U83" s="79" t="str">
        <f t="shared" si="6"/>
        <v>60/10 - 50</v>
      </c>
      <c r="W83"/>
    </row>
    <row r="84" spans="1:24" s="84" customFormat="1" ht="16.5" x14ac:dyDescent="0.3">
      <c r="A84" s="24"/>
      <c r="B84" s="1"/>
      <c r="C84" s="22">
        <v>80</v>
      </c>
      <c r="D84" s="14" t="s">
        <v>555</v>
      </c>
      <c r="E84" s="22">
        <v>40</v>
      </c>
      <c r="F84" s="14" t="s">
        <v>218</v>
      </c>
      <c r="G84" s="14" t="str">
        <f t="shared" si="5"/>
        <v>Hitachi (Ex A-TRF2) - Reserva</v>
      </c>
      <c r="H84" s="14"/>
      <c r="I84" s="14" t="s">
        <v>109</v>
      </c>
      <c r="J84" s="14" t="s">
        <v>110</v>
      </c>
      <c r="K84" s="14" t="s">
        <v>50</v>
      </c>
      <c r="L84" s="14">
        <v>2004</v>
      </c>
      <c r="M84" s="14">
        <v>60002765</v>
      </c>
      <c r="N84" s="14" t="s">
        <v>176</v>
      </c>
      <c r="O84" s="123" t="s">
        <v>431</v>
      </c>
      <c r="P84" s="123" t="s">
        <v>328</v>
      </c>
      <c r="Q84" s="123">
        <v>40</v>
      </c>
      <c r="R84" s="129" t="s">
        <v>218</v>
      </c>
      <c r="S84" s="80" t="s">
        <v>583</v>
      </c>
      <c r="U84" s="79" t="str">
        <f t="shared" si="6"/>
        <v>60/22.9/10 - 40</v>
      </c>
      <c r="W84"/>
    </row>
    <row r="85" spans="1:24" s="84" customFormat="1" ht="16.5" x14ac:dyDescent="0.3">
      <c r="A85" s="24"/>
      <c r="B85" s="1"/>
      <c r="C85" s="22">
        <v>81</v>
      </c>
      <c r="D85" s="14" t="s">
        <v>556</v>
      </c>
      <c r="E85" s="14">
        <v>25</v>
      </c>
      <c r="F85" s="14" t="s">
        <v>218</v>
      </c>
      <c r="G85" s="14" t="str">
        <f t="shared" si="5"/>
        <v>Delcrosa (Ex MO - TRF2) - Reserva</v>
      </c>
      <c r="H85" s="14"/>
      <c r="I85" s="14" t="s">
        <v>116</v>
      </c>
      <c r="J85" s="14" t="s">
        <v>166</v>
      </c>
      <c r="K85" s="14" t="s">
        <v>167</v>
      </c>
      <c r="L85" s="14">
        <v>1977</v>
      </c>
      <c r="M85" s="25" t="s">
        <v>168</v>
      </c>
      <c r="N85" s="25" t="s">
        <v>169</v>
      </c>
      <c r="O85" s="115" t="s">
        <v>431</v>
      </c>
      <c r="P85" s="115" t="s">
        <v>327</v>
      </c>
      <c r="Q85" s="116">
        <v>25</v>
      </c>
      <c r="R85" s="129" t="s">
        <v>218</v>
      </c>
      <c r="S85" s="80" t="s">
        <v>574</v>
      </c>
      <c r="U85" s="79" t="str">
        <f t="shared" si="6"/>
        <v>60/10 - 25</v>
      </c>
      <c r="W85"/>
    </row>
    <row r="86" spans="1:24" s="84" customFormat="1" ht="16.5" x14ac:dyDescent="0.3">
      <c r="A86" s="24"/>
      <c r="B86" s="1"/>
      <c r="C86" s="22">
        <v>82</v>
      </c>
      <c r="D86" s="14" t="s">
        <v>553</v>
      </c>
      <c r="E86" s="14">
        <v>25</v>
      </c>
      <c r="F86" s="14" t="s">
        <v>218</v>
      </c>
      <c r="G86" s="14" t="str">
        <f t="shared" si="5"/>
        <v>Delcrosa (Ex PA-TRF2) - Reserva</v>
      </c>
      <c r="H86" s="14"/>
      <c r="I86" s="14" t="s">
        <v>116</v>
      </c>
      <c r="J86" s="14" t="s">
        <v>166</v>
      </c>
      <c r="K86" s="14" t="s">
        <v>167</v>
      </c>
      <c r="L86" s="14">
        <v>1977</v>
      </c>
      <c r="M86" s="25" t="s">
        <v>174</v>
      </c>
      <c r="N86" s="25" t="s">
        <v>175</v>
      </c>
      <c r="O86" s="115" t="s">
        <v>431</v>
      </c>
      <c r="P86" s="115" t="s">
        <v>327</v>
      </c>
      <c r="Q86" s="116">
        <v>25</v>
      </c>
      <c r="R86" s="129" t="s">
        <v>218</v>
      </c>
      <c r="S86" s="80" t="s">
        <v>574</v>
      </c>
      <c r="U86" s="79" t="str">
        <f t="shared" si="6"/>
        <v>60/10 - 25</v>
      </c>
      <c r="W86"/>
    </row>
  </sheetData>
  <autoFilter ref="C2:R73" xr:uid="{00000000-0009-0000-0000-000002000000}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47"/>
  <sheetViews>
    <sheetView workbookViewId="0">
      <selection activeCell="G4" sqref="G4"/>
    </sheetView>
  </sheetViews>
  <sheetFormatPr baseColWidth="10" defaultColWidth="12" defaultRowHeight="15" x14ac:dyDescent="0.3"/>
  <cols>
    <col min="1" max="1" width="12" style="137"/>
    <col min="2" max="2" width="14.5" style="137" bestFit="1" customWidth="1"/>
    <col min="3" max="5" width="12" style="137"/>
    <col min="6" max="6" width="17.1640625" style="137" bestFit="1" customWidth="1"/>
    <col min="7" max="7" width="12" style="145"/>
    <col min="8" max="16384" width="12" style="137"/>
  </cols>
  <sheetData>
    <row r="1" spans="2:7" x14ac:dyDescent="0.3">
      <c r="F1" s="137" t="s">
        <v>586</v>
      </c>
    </row>
    <row r="3" spans="2:7" x14ac:dyDescent="0.3">
      <c r="B3" s="135" t="s">
        <v>327</v>
      </c>
      <c r="C3" s="136">
        <v>25</v>
      </c>
      <c r="D3" s="137" t="str">
        <f>+B3&amp;" - "&amp;C3</f>
        <v>60/10 - 25</v>
      </c>
      <c r="F3" s="137" t="s">
        <v>567</v>
      </c>
      <c r="G3" s="145">
        <f>+COUNTIFS($D$3:$D$36,F3)</f>
        <v>19</v>
      </c>
    </row>
    <row r="4" spans="2:7" x14ac:dyDescent="0.3">
      <c r="B4" s="135" t="s">
        <v>327</v>
      </c>
      <c r="C4" s="136">
        <v>25</v>
      </c>
      <c r="D4" s="137" t="str">
        <f t="shared" ref="D4:D36" si="0">+B4&amp;" - "&amp;C4</f>
        <v>60/10 - 25</v>
      </c>
      <c r="F4" s="137" t="s">
        <v>565</v>
      </c>
      <c r="G4" s="145">
        <f t="shared" ref="G4:G9" si="1">+COUNTIFS($D$3:$D$36,F4)</f>
        <v>3</v>
      </c>
    </row>
    <row r="5" spans="2:7" x14ac:dyDescent="0.3">
      <c r="B5" s="135" t="s">
        <v>327</v>
      </c>
      <c r="C5" s="136">
        <v>25</v>
      </c>
      <c r="D5" s="137" t="str">
        <f t="shared" si="0"/>
        <v>60/10 - 25</v>
      </c>
      <c r="F5" s="137" t="s">
        <v>568</v>
      </c>
      <c r="G5" s="145">
        <f t="shared" si="1"/>
        <v>6</v>
      </c>
    </row>
    <row r="6" spans="2:7" x14ac:dyDescent="0.3">
      <c r="B6" s="135" t="s">
        <v>328</v>
      </c>
      <c r="C6" s="136">
        <v>40</v>
      </c>
      <c r="D6" s="137" t="str">
        <f t="shared" si="0"/>
        <v>60/22.9/10 - 40</v>
      </c>
      <c r="F6" s="137" t="s">
        <v>569</v>
      </c>
      <c r="G6" s="145">
        <f t="shared" si="1"/>
        <v>2</v>
      </c>
    </row>
    <row r="7" spans="2:7" x14ac:dyDescent="0.3">
      <c r="B7" s="135" t="s">
        <v>328</v>
      </c>
      <c r="C7" s="136">
        <v>25</v>
      </c>
      <c r="D7" s="137" t="str">
        <f t="shared" si="0"/>
        <v>60/22.9/10 - 25</v>
      </c>
      <c r="F7" s="137" t="s">
        <v>570</v>
      </c>
      <c r="G7" s="145">
        <f t="shared" si="1"/>
        <v>2</v>
      </c>
    </row>
    <row r="8" spans="2:7" x14ac:dyDescent="0.3">
      <c r="B8" s="135" t="s">
        <v>327</v>
      </c>
      <c r="C8" s="136">
        <v>17.2</v>
      </c>
      <c r="D8" s="137" t="str">
        <f t="shared" si="0"/>
        <v>60/10 - 17.2</v>
      </c>
      <c r="F8" s="137" t="s">
        <v>571</v>
      </c>
      <c r="G8" s="145">
        <f t="shared" si="1"/>
        <v>1</v>
      </c>
    </row>
    <row r="9" spans="2:7" x14ac:dyDescent="0.3">
      <c r="B9" s="135" t="s">
        <v>327</v>
      </c>
      <c r="C9" s="136">
        <v>17.2</v>
      </c>
      <c r="D9" s="137" t="str">
        <f t="shared" si="0"/>
        <v>60/10 - 17.2</v>
      </c>
      <c r="F9" s="137" t="s">
        <v>572</v>
      </c>
      <c r="G9" s="145">
        <f t="shared" si="1"/>
        <v>1</v>
      </c>
    </row>
    <row r="10" spans="2:7" x14ac:dyDescent="0.3">
      <c r="B10" s="136" t="s">
        <v>327</v>
      </c>
      <c r="C10" s="136">
        <v>25</v>
      </c>
      <c r="D10" s="137" t="str">
        <f t="shared" si="0"/>
        <v>60/10 - 25</v>
      </c>
      <c r="F10"/>
    </row>
    <row r="11" spans="2:7" x14ac:dyDescent="0.3">
      <c r="B11" s="138" t="s">
        <v>327</v>
      </c>
      <c r="C11" s="139">
        <v>25</v>
      </c>
      <c r="D11" s="137" t="str">
        <f t="shared" si="0"/>
        <v>60/10 - 25</v>
      </c>
      <c r="F11" s="137" t="s">
        <v>585</v>
      </c>
    </row>
    <row r="12" spans="2:7" x14ac:dyDescent="0.3">
      <c r="B12" s="135" t="s">
        <v>327</v>
      </c>
      <c r="C12" s="136">
        <v>25</v>
      </c>
      <c r="D12" s="137" t="str">
        <f t="shared" si="0"/>
        <v>60/10 - 25</v>
      </c>
    </row>
    <row r="13" spans="2:7" x14ac:dyDescent="0.3">
      <c r="B13" s="135" t="s">
        <v>327</v>
      </c>
      <c r="C13" s="136">
        <v>25</v>
      </c>
      <c r="D13" s="137" t="str">
        <f t="shared" si="0"/>
        <v>60/10 - 25</v>
      </c>
      <c r="F13" t="s">
        <v>569</v>
      </c>
      <c r="G13" s="145">
        <f>+COUNTIFS($D$39:$D$47,F13)</f>
        <v>2</v>
      </c>
    </row>
    <row r="14" spans="2:7" x14ac:dyDescent="0.3">
      <c r="B14" s="135" t="s">
        <v>328</v>
      </c>
      <c r="C14" s="136">
        <v>40</v>
      </c>
      <c r="D14" s="137" t="str">
        <f t="shared" si="0"/>
        <v>60/22.9/10 - 40</v>
      </c>
      <c r="F14" t="s">
        <v>568</v>
      </c>
      <c r="G14" s="145">
        <f t="shared" ref="G14:G17" si="2">+COUNTIFS($D$39:$D$47,F14)</f>
        <v>2</v>
      </c>
    </row>
    <row r="15" spans="2:7" x14ac:dyDescent="0.3">
      <c r="B15" s="135" t="s">
        <v>328</v>
      </c>
      <c r="C15" s="136">
        <v>25</v>
      </c>
      <c r="D15" s="137" t="str">
        <f t="shared" si="0"/>
        <v>60/22.9/10 - 25</v>
      </c>
      <c r="F15" t="s">
        <v>575</v>
      </c>
      <c r="G15" s="145">
        <f t="shared" si="2"/>
        <v>1</v>
      </c>
    </row>
    <row r="16" spans="2:7" x14ac:dyDescent="0.3">
      <c r="B16" s="135" t="s">
        <v>328</v>
      </c>
      <c r="C16" s="136">
        <v>25</v>
      </c>
      <c r="D16" s="137" t="str">
        <f t="shared" si="0"/>
        <v>60/22.9/10 - 25</v>
      </c>
      <c r="F16" t="s">
        <v>567</v>
      </c>
      <c r="G16" s="145">
        <f t="shared" si="2"/>
        <v>3</v>
      </c>
    </row>
    <row r="17" spans="2:7" x14ac:dyDescent="0.3">
      <c r="B17" s="135" t="s">
        <v>327</v>
      </c>
      <c r="C17" s="136">
        <v>40</v>
      </c>
      <c r="D17" s="137" t="str">
        <f t="shared" si="0"/>
        <v>60/10 - 40</v>
      </c>
      <c r="F17" t="s">
        <v>565</v>
      </c>
      <c r="G17" s="145">
        <f t="shared" si="2"/>
        <v>1</v>
      </c>
    </row>
    <row r="18" spans="2:7" x14ac:dyDescent="0.3">
      <c r="B18" s="135" t="s">
        <v>327</v>
      </c>
      <c r="C18" s="136">
        <v>25</v>
      </c>
      <c r="D18" s="137" t="str">
        <f t="shared" si="0"/>
        <v>60/10 - 25</v>
      </c>
      <c r="F18"/>
    </row>
    <row r="19" spans="2:7" x14ac:dyDescent="0.3">
      <c r="B19" s="135" t="s">
        <v>328</v>
      </c>
      <c r="C19" s="136">
        <v>25</v>
      </c>
      <c r="D19" s="137" t="str">
        <f t="shared" si="0"/>
        <v>60/22.9/10 - 25</v>
      </c>
      <c r="F19"/>
    </row>
    <row r="20" spans="2:7" x14ac:dyDescent="0.3">
      <c r="B20" s="135" t="s">
        <v>327</v>
      </c>
      <c r="C20" s="136">
        <v>25</v>
      </c>
      <c r="D20" s="137" t="str">
        <f t="shared" si="0"/>
        <v>60/10 - 25</v>
      </c>
      <c r="F20"/>
    </row>
    <row r="21" spans="2:7" x14ac:dyDescent="0.3">
      <c r="B21" s="135" t="s">
        <v>327</v>
      </c>
      <c r="C21" s="136">
        <v>25</v>
      </c>
      <c r="D21" s="137" t="str">
        <f t="shared" si="0"/>
        <v>60/10 - 25</v>
      </c>
      <c r="F21"/>
    </row>
    <row r="22" spans="2:7" x14ac:dyDescent="0.3">
      <c r="B22" s="135" t="s">
        <v>327</v>
      </c>
      <c r="C22" s="136">
        <v>25</v>
      </c>
      <c r="D22" s="137" t="str">
        <f t="shared" si="0"/>
        <v>60/10 - 25</v>
      </c>
      <c r="F22"/>
    </row>
    <row r="23" spans="2:7" x14ac:dyDescent="0.3">
      <c r="B23" s="135" t="s">
        <v>327</v>
      </c>
      <c r="C23" s="136">
        <v>40</v>
      </c>
      <c r="D23" s="137" t="str">
        <f t="shared" si="0"/>
        <v>60/10 - 40</v>
      </c>
      <c r="F23"/>
    </row>
    <row r="24" spans="2:7" x14ac:dyDescent="0.3">
      <c r="B24" s="135" t="s">
        <v>327</v>
      </c>
      <c r="C24" s="136">
        <v>25</v>
      </c>
      <c r="D24" s="137" t="str">
        <f t="shared" si="0"/>
        <v>60/10 - 25</v>
      </c>
      <c r="F24"/>
    </row>
    <row r="25" spans="2:7" x14ac:dyDescent="0.3">
      <c r="B25" s="135" t="s">
        <v>328</v>
      </c>
      <c r="C25" s="136">
        <v>25</v>
      </c>
      <c r="D25" s="137" t="str">
        <f t="shared" si="0"/>
        <v>60/22.9/10 - 25</v>
      </c>
      <c r="F25"/>
    </row>
    <row r="26" spans="2:7" x14ac:dyDescent="0.3">
      <c r="B26" s="135" t="s">
        <v>327</v>
      </c>
      <c r="C26" s="136">
        <v>25</v>
      </c>
      <c r="D26" s="137" t="str">
        <f t="shared" si="0"/>
        <v>60/10 - 25</v>
      </c>
      <c r="F26"/>
    </row>
    <row r="27" spans="2:7" x14ac:dyDescent="0.3">
      <c r="B27" s="135" t="s">
        <v>328</v>
      </c>
      <c r="C27" s="136">
        <v>10</v>
      </c>
      <c r="D27" s="137" t="str">
        <f t="shared" si="0"/>
        <v>60/22.9/10 - 10</v>
      </c>
      <c r="F27"/>
    </row>
    <row r="28" spans="2:7" x14ac:dyDescent="0.3">
      <c r="B28" s="135" t="s">
        <v>327</v>
      </c>
      <c r="C28" s="136">
        <v>25</v>
      </c>
      <c r="D28" s="137" t="str">
        <f t="shared" si="0"/>
        <v>60/10 - 25</v>
      </c>
      <c r="F28"/>
    </row>
    <row r="29" spans="2:7" x14ac:dyDescent="0.3">
      <c r="B29" s="135" t="s">
        <v>327</v>
      </c>
      <c r="C29" s="136">
        <v>25</v>
      </c>
      <c r="D29" s="137" t="str">
        <f t="shared" si="0"/>
        <v>60/10 - 25</v>
      </c>
      <c r="F29"/>
    </row>
    <row r="30" spans="2:7" x14ac:dyDescent="0.3">
      <c r="B30" s="135" t="s">
        <v>327</v>
      </c>
      <c r="C30" s="136">
        <v>5</v>
      </c>
      <c r="D30" s="137" t="str">
        <f t="shared" si="0"/>
        <v>60/10 - 5</v>
      </c>
      <c r="F30"/>
    </row>
    <row r="31" spans="2:7" x14ac:dyDescent="0.3">
      <c r="B31" s="135" t="s">
        <v>328</v>
      </c>
      <c r="C31" s="136">
        <v>25</v>
      </c>
      <c r="D31" s="137" t="str">
        <f t="shared" si="0"/>
        <v>60/22.9/10 - 25</v>
      </c>
      <c r="F31"/>
    </row>
    <row r="32" spans="2:7" x14ac:dyDescent="0.3">
      <c r="B32" s="135" t="s">
        <v>327</v>
      </c>
      <c r="C32" s="136">
        <v>25</v>
      </c>
      <c r="D32" s="137" t="str">
        <f t="shared" si="0"/>
        <v>60/10 - 25</v>
      </c>
      <c r="F32"/>
    </row>
    <row r="33" spans="2:6" x14ac:dyDescent="0.3">
      <c r="B33" s="135" t="s">
        <v>327</v>
      </c>
      <c r="C33" s="136">
        <v>25</v>
      </c>
      <c r="D33" s="137" t="str">
        <f t="shared" si="0"/>
        <v>60/10 - 25</v>
      </c>
      <c r="F33"/>
    </row>
    <row r="34" spans="2:6" x14ac:dyDescent="0.3">
      <c r="B34" s="135" t="s">
        <v>327</v>
      </c>
      <c r="C34" s="136">
        <v>25</v>
      </c>
      <c r="D34" s="137" t="str">
        <f t="shared" si="0"/>
        <v>60/10 - 25</v>
      </c>
      <c r="F34"/>
    </row>
    <row r="35" spans="2:6" x14ac:dyDescent="0.3">
      <c r="B35" s="135" t="s">
        <v>327</v>
      </c>
      <c r="C35" s="136">
        <v>25</v>
      </c>
      <c r="D35" s="137" t="str">
        <f t="shared" si="0"/>
        <v>60/10 - 25</v>
      </c>
      <c r="F35"/>
    </row>
    <row r="36" spans="2:6" x14ac:dyDescent="0.3">
      <c r="B36" s="135" t="s">
        <v>328</v>
      </c>
      <c r="C36" s="136">
        <v>40</v>
      </c>
      <c r="D36" s="137" t="str">
        <f t="shared" si="0"/>
        <v>60/22.9/10 - 40</v>
      </c>
      <c r="F36"/>
    </row>
    <row r="39" spans="2:6" x14ac:dyDescent="0.3">
      <c r="B39" s="140" t="s">
        <v>327</v>
      </c>
      <c r="C39" s="141">
        <v>17.2</v>
      </c>
      <c r="D39" s="137" t="str">
        <f t="shared" ref="D39:D47" si="3">+B39&amp;" - "&amp;C39</f>
        <v>60/10 - 17.2</v>
      </c>
    </row>
    <row r="40" spans="2:6" x14ac:dyDescent="0.3">
      <c r="B40" s="140" t="s">
        <v>327</v>
      </c>
      <c r="C40" s="141">
        <v>17.2</v>
      </c>
      <c r="D40" s="137" t="str">
        <f t="shared" si="3"/>
        <v>60/10 - 17.2</v>
      </c>
    </row>
    <row r="41" spans="2:6" x14ac:dyDescent="0.3">
      <c r="B41" s="140" t="s">
        <v>328</v>
      </c>
      <c r="C41" s="141">
        <v>25</v>
      </c>
      <c r="D41" s="137" t="str">
        <f t="shared" si="3"/>
        <v>60/22.9/10 - 25</v>
      </c>
    </row>
    <row r="42" spans="2:6" x14ac:dyDescent="0.3">
      <c r="B42" s="140" t="s">
        <v>328</v>
      </c>
      <c r="C42" s="141">
        <v>25</v>
      </c>
      <c r="D42" s="137" t="str">
        <f t="shared" si="3"/>
        <v>60/22.9/10 - 25</v>
      </c>
    </row>
    <row r="43" spans="2:6" x14ac:dyDescent="0.3">
      <c r="B43" s="140" t="s">
        <v>327</v>
      </c>
      <c r="C43" s="141">
        <v>12.5</v>
      </c>
      <c r="D43" s="137" t="str">
        <f t="shared" si="3"/>
        <v>60/10 - 12.5</v>
      </c>
    </row>
    <row r="44" spans="2:6" x14ac:dyDescent="0.3">
      <c r="B44" s="142" t="s">
        <v>327</v>
      </c>
      <c r="C44" s="143">
        <v>25</v>
      </c>
      <c r="D44" s="137" t="str">
        <f t="shared" si="3"/>
        <v>60/10 - 25</v>
      </c>
    </row>
    <row r="45" spans="2:6" x14ac:dyDescent="0.3">
      <c r="B45" s="144" t="s">
        <v>328</v>
      </c>
      <c r="C45" s="144">
        <v>40</v>
      </c>
      <c r="D45" s="137" t="str">
        <f t="shared" si="3"/>
        <v>60/22.9/10 - 40</v>
      </c>
    </row>
    <row r="46" spans="2:6" x14ac:dyDescent="0.3">
      <c r="B46" s="135" t="s">
        <v>327</v>
      </c>
      <c r="C46" s="136">
        <v>25</v>
      </c>
      <c r="D46" s="137" t="str">
        <f t="shared" si="3"/>
        <v>60/10 - 25</v>
      </c>
    </row>
    <row r="47" spans="2:6" x14ac:dyDescent="0.3">
      <c r="B47" s="135" t="s">
        <v>327</v>
      </c>
      <c r="C47" s="136">
        <v>25</v>
      </c>
      <c r="D47" s="137" t="str">
        <f t="shared" si="3"/>
        <v>60/10 - 25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47"/>
  <sheetViews>
    <sheetView workbookViewId="0">
      <selection activeCell="E32" sqref="E32"/>
    </sheetView>
  </sheetViews>
  <sheetFormatPr baseColWidth="10" defaultRowHeight="13.5" x14ac:dyDescent="0.3"/>
  <cols>
    <col min="6" max="6" width="17.1640625" bestFit="1" customWidth="1"/>
    <col min="7" max="7" width="12" style="15"/>
  </cols>
  <sheetData>
    <row r="1" spans="2:7" ht="15" x14ac:dyDescent="0.3">
      <c r="F1" s="137" t="s">
        <v>586</v>
      </c>
      <c r="G1" s="146"/>
    </row>
    <row r="2" spans="2:7" ht="15" x14ac:dyDescent="0.3">
      <c r="F2" s="137"/>
      <c r="G2" s="146"/>
    </row>
    <row r="3" spans="2:7" ht="16.5" x14ac:dyDescent="0.3">
      <c r="B3" s="119" t="s">
        <v>329</v>
      </c>
      <c r="C3" s="120">
        <v>50</v>
      </c>
      <c r="D3" s="137" t="str">
        <f>+B3&amp;" - "&amp;C3</f>
        <v>60/22.9 - 50</v>
      </c>
      <c r="F3" s="137" t="s">
        <v>564</v>
      </c>
      <c r="G3" s="146">
        <f>+COUNTIFS($D$3:$D$39,F3)</f>
        <v>9</v>
      </c>
    </row>
    <row r="4" spans="2:7" ht="16.5" x14ac:dyDescent="0.3">
      <c r="B4" s="118" t="s">
        <v>328</v>
      </c>
      <c r="C4" s="120">
        <v>40</v>
      </c>
      <c r="D4" s="137" t="str">
        <f t="shared" ref="D4:D43" si="0">+B4&amp;" - "&amp;C4</f>
        <v>60/22.9/10 - 40</v>
      </c>
      <c r="F4" s="137" t="s">
        <v>565</v>
      </c>
      <c r="G4" s="146">
        <f t="shared" ref="G4:G6" si="1">+COUNTIFS($D$3:$D$39,F4)</f>
        <v>8</v>
      </c>
    </row>
    <row r="5" spans="2:7" ht="16.5" x14ac:dyDescent="0.3">
      <c r="B5" s="119" t="s">
        <v>327</v>
      </c>
      <c r="C5" s="120">
        <v>50</v>
      </c>
      <c r="D5" s="137" t="str">
        <f t="shared" si="0"/>
        <v>60/10 - 50</v>
      </c>
      <c r="F5" s="137" t="s">
        <v>566</v>
      </c>
      <c r="G5" s="146">
        <f t="shared" si="1"/>
        <v>19</v>
      </c>
    </row>
    <row r="6" spans="2:7" ht="16.5" x14ac:dyDescent="0.3">
      <c r="B6" s="119" t="s">
        <v>327</v>
      </c>
      <c r="C6" s="120">
        <v>50</v>
      </c>
      <c r="D6" s="137" t="str">
        <f t="shared" si="0"/>
        <v>60/10 - 50</v>
      </c>
      <c r="F6" t="s">
        <v>568</v>
      </c>
      <c r="G6" s="146">
        <f t="shared" si="1"/>
        <v>1</v>
      </c>
    </row>
    <row r="7" spans="2:7" ht="16.5" x14ac:dyDescent="0.3">
      <c r="B7" s="119" t="s">
        <v>327</v>
      </c>
      <c r="C7" s="120">
        <v>50</v>
      </c>
      <c r="D7" s="137" t="str">
        <f t="shared" si="0"/>
        <v>60/10 - 50</v>
      </c>
    </row>
    <row r="8" spans="2:7" ht="16.5" x14ac:dyDescent="0.3">
      <c r="B8" s="119" t="s">
        <v>327</v>
      </c>
      <c r="C8" s="120">
        <v>50</v>
      </c>
      <c r="D8" s="137" t="str">
        <f t="shared" si="0"/>
        <v>60/10 - 50</v>
      </c>
      <c r="F8" s="20" t="s">
        <v>585</v>
      </c>
    </row>
    <row r="9" spans="2:7" ht="16.5" x14ac:dyDescent="0.3">
      <c r="B9" s="119" t="s">
        <v>327</v>
      </c>
      <c r="C9" s="120">
        <v>50</v>
      </c>
      <c r="D9" s="137" t="str">
        <f t="shared" si="0"/>
        <v>60/10 - 50</v>
      </c>
    </row>
    <row r="10" spans="2:7" ht="16.5" x14ac:dyDescent="0.3">
      <c r="B10" s="119" t="s">
        <v>329</v>
      </c>
      <c r="C10" s="120">
        <v>50</v>
      </c>
      <c r="D10" s="137" t="str">
        <f t="shared" si="0"/>
        <v>60/22.9 - 50</v>
      </c>
      <c r="F10" t="s">
        <v>565</v>
      </c>
      <c r="G10" s="15">
        <v>1</v>
      </c>
    </row>
    <row r="11" spans="2:7" ht="16.5" x14ac:dyDescent="0.3">
      <c r="B11" s="119" t="s">
        <v>329</v>
      </c>
      <c r="C11" s="120">
        <v>50</v>
      </c>
      <c r="D11" s="137" t="str">
        <f t="shared" si="0"/>
        <v>60/22.9 - 50</v>
      </c>
      <c r="F11" t="s">
        <v>566</v>
      </c>
      <c r="G11" s="15">
        <v>1</v>
      </c>
    </row>
    <row r="12" spans="2:7" ht="16.5" x14ac:dyDescent="0.3">
      <c r="B12" s="119" t="s">
        <v>327</v>
      </c>
      <c r="C12" s="120">
        <v>50</v>
      </c>
      <c r="D12" s="137" t="str">
        <f t="shared" si="0"/>
        <v>60/10 - 50</v>
      </c>
    </row>
    <row r="13" spans="2:7" ht="16.5" x14ac:dyDescent="0.3">
      <c r="B13" s="118" t="s">
        <v>328</v>
      </c>
      <c r="C13" s="120">
        <v>40</v>
      </c>
      <c r="D13" s="137" t="str">
        <f t="shared" si="0"/>
        <v>60/22.9/10 - 40</v>
      </c>
    </row>
    <row r="14" spans="2:7" ht="16.5" x14ac:dyDescent="0.3">
      <c r="B14" s="119" t="s">
        <v>327</v>
      </c>
      <c r="C14" s="120">
        <v>50</v>
      </c>
      <c r="D14" s="137" t="str">
        <f t="shared" si="0"/>
        <v>60/10 - 50</v>
      </c>
    </row>
    <row r="15" spans="2:7" ht="16.5" x14ac:dyDescent="0.3">
      <c r="B15" s="119" t="s">
        <v>327</v>
      </c>
      <c r="C15" s="120">
        <v>50</v>
      </c>
      <c r="D15" s="137" t="str">
        <f t="shared" si="0"/>
        <v>60/10 - 50</v>
      </c>
    </row>
    <row r="16" spans="2:7" ht="16.5" x14ac:dyDescent="0.3">
      <c r="B16" s="118" t="s">
        <v>329</v>
      </c>
      <c r="C16" s="120">
        <v>50</v>
      </c>
      <c r="D16" s="137" t="str">
        <f t="shared" si="0"/>
        <v>60/22.9 - 50</v>
      </c>
    </row>
    <row r="17" spans="2:4" ht="16.5" x14ac:dyDescent="0.3">
      <c r="B17" s="119" t="s">
        <v>327</v>
      </c>
      <c r="C17" s="120">
        <v>50</v>
      </c>
      <c r="D17" s="137" t="str">
        <f t="shared" si="0"/>
        <v>60/10 - 50</v>
      </c>
    </row>
    <row r="18" spans="2:4" ht="16.5" x14ac:dyDescent="0.3">
      <c r="B18" s="118" t="s">
        <v>328</v>
      </c>
      <c r="C18" s="120">
        <v>40</v>
      </c>
      <c r="D18" s="137" t="str">
        <f t="shared" si="0"/>
        <v>60/22.9/10 - 40</v>
      </c>
    </row>
    <row r="19" spans="2:4" ht="16.5" x14ac:dyDescent="0.3">
      <c r="B19" s="119" t="s">
        <v>327</v>
      </c>
      <c r="C19" s="120">
        <v>50</v>
      </c>
      <c r="D19" s="137" t="str">
        <f t="shared" si="0"/>
        <v>60/10 - 50</v>
      </c>
    </row>
    <row r="20" spans="2:4" ht="16.5" x14ac:dyDescent="0.3">
      <c r="B20" s="119" t="s">
        <v>329</v>
      </c>
      <c r="C20" s="120">
        <v>50</v>
      </c>
      <c r="D20" s="137" t="str">
        <f t="shared" si="0"/>
        <v>60/22.9 - 50</v>
      </c>
    </row>
    <row r="21" spans="2:4" ht="16.5" x14ac:dyDescent="0.3">
      <c r="B21" s="118" t="s">
        <v>328</v>
      </c>
      <c r="C21" s="120">
        <v>40</v>
      </c>
      <c r="D21" s="137" t="str">
        <f t="shared" si="0"/>
        <v>60/22.9/10 - 40</v>
      </c>
    </row>
    <row r="22" spans="2:4" ht="16.5" x14ac:dyDescent="0.3">
      <c r="B22" s="119" t="s">
        <v>329</v>
      </c>
      <c r="C22" s="120">
        <v>50</v>
      </c>
      <c r="D22" s="137" t="str">
        <f t="shared" si="0"/>
        <v>60/22.9 - 50</v>
      </c>
    </row>
    <row r="23" spans="2:4" ht="16.5" x14ac:dyDescent="0.3">
      <c r="B23" s="119" t="s">
        <v>329</v>
      </c>
      <c r="C23" s="120">
        <v>50</v>
      </c>
      <c r="D23" s="137" t="str">
        <f t="shared" si="0"/>
        <v>60/22.9 - 50</v>
      </c>
    </row>
    <row r="24" spans="2:4" ht="16.5" x14ac:dyDescent="0.3">
      <c r="B24" s="118" t="s">
        <v>328</v>
      </c>
      <c r="C24" s="120">
        <v>40</v>
      </c>
      <c r="D24" s="137" t="str">
        <f t="shared" si="0"/>
        <v>60/22.9/10 - 40</v>
      </c>
    </row>
    <row r="25" spans="2:4" ht="16.5" x14ac:dyDescent="0.3">
      <c r="B25" s="119" t="s">
        <v>327</v>
      </c>
      <c r="C25" s="120">
        <v>50</v>
      </c>
      <c r="D25" s="137" t="str">
        <f t="shared" si="0"/>
        <v>60/10 - 50</v>
      </c>
    </row>
    <row r="26" spans="2:4" ht="16.5" x14ac:dyDescent="0.3">
      <c r="B26" s="119" t="s">
        <v>327</v>
      </c>
      <c r="C26" s="120">
        <v>50</v>
      </c>
      <c r="D26" s="137" t="str">
        <f t="shared" si="0"/>
        <v>60/10 - 50</v>
      </c>
    </row>
    <row r="27" spans="2:4" ht="16.5" x14ac:dyDescent="0.3">
      <c r="B27" s="118" t="s">
        <v>328</v>
      </c>
      <c r="C27" s="120">
        <v>40</v>
      </c>
      <c r="D27" s="137" t="str">
        <f t="shared" si="0"/>
        <v>60/22.9/10 - 40</v>
      </c>
    </row>
    <row r="28" spans="2:4" ht="16.5" x14ac:dyDescent="0.3">
      <c r="B28" s="119" t="s">
        <v>327</v>
      </c>
      <c r="C28" s="120">
        <v>50</v>
      </c>
      <c r="D28" s="137" t="str">
        <f t="shared" si="0"/>
        <v>60/10 - 50</v>
      </c>
    </row>
    <row r="29" spans="2:4" ht="16.5" x14ac:dyDescent="0.3">
      <c r="B29" s="118" t="s">
        <v>328</v>
      </c>
      <c r="C29" s="120">
        <v>40</v>
      </c>
      <c r="D29" s="137" t="str">
        <f t="shared" si="0"/>
        <v>60/22.9/10 - 40</v>
      </c>
    </row>
    <row r="30" spans="2:4" ht="16.5" x14ac:dyDescent="0.3">
      <c r="B30" s="119" t="s">
        <v>327</v>
      </c>
      <c r="C30" s="120">
        <v>50</v>
      </c>
      <c r="D30" s="137" t="str">
        <f t="shared" si="0"/>
        <v>60/10 - 50</v>
      </c>
    </row>
    <row r="31" spans="2:4" ht="16.5" x14ac:dyDescent="0.3">
      <c r="B31" s="119" t="s">
        <v>327</v>
      </c>
      <c r="C31" s="120">
        <v>50</v>
      </c>
      <c r="D31" s="137" t="str">
        <f t="shared" si="0"/>
        <v>60/10 - 50</v>
      </c>
    </row>
    <row r="32" spans="2:4" ht="16.5" x14ac:dyDescent="0.3">
      <c r="B32" s="119" t="s">
        <v>327</v>
      </c>
      <c r="C32" s="120">
        <v>50</v>
      </c>
      <c r="D32" s="137" t="str">
        <f t="shared" si="0"/>
        <v>60/10 - 50</v>
      </c>
    </row>
    <row r="33" spans="2:4" ht="16.5" x14ac:dyDescent="0.3">
      <c r="B33" s="118" t="s">
        <v>328</v>
      </c>
      <c r="C33" s="120">
        <v>40</v>
      </c>
      <c r="D33" s="137" t="str">
        <f t="shared" si="0"/>
        <v>60/22.9/10 - 40</v>
      </c>
    </row>
    <row r="34" spans="2:4" ht="16.5" x14ac:dyDescent="0.3">
      <c r="B34" s="119" t="s">
        <v>327</v>
      </c>
      <c r="C34" s="120">
        <v>50</v>
      </c>
      <c r="D34" s="137" t="str">
        <f t="shared" si="0"/>
        <v>60/10 - 50</v>
      </c>
    </row>
    <row r="35" spans="2:4" ht="16.5" x14ac:dyDescent="0.3">
      <c r="B35" s="118" t="s">
        <v>328</v>
      </c>
      <c r="C35" s="120">
        <v>25</v>
      </c>
      <c r="D35" s="137" t="str">
        <f t="shared" si="0"/>
        <v>60/22.9/10 - 25</v>
      </c>
    </row>
    <row r="36" spans="2:4" ht="16.5" x14ac:dyDescent="0.3">
      <c r="B36" s="119" t="s">
        <v>329</v>
      </c>
      <c r="C36" s="120">
        <v>50</v>
      </c>
      <c r="D36" s="137" t="str">
        <f t="shared" si="0"/>
        <v>60/22.9 - 50</v>
      </c>
    </row>
    <row r="37" spans="2:4" ht="16.5" x14ac:dyDescent="0.3">
      <c r="B37" s="119" t="s">
        <v>327</v>
      </c>
      <c r="C37" s="120">
        <v>50</v>
      </c>
      <c r="D37" s="137" t="str">
        <f t="shared" si="0"/>
        <v>60/10 - 50</v>
      </c>
    </row>
    <row r="38" spans="2:4" ht="16.5" x14ac:dyDescent="0.3">
      <c r="B38" s="119" t="s">
        <v>329</v>
      </c>
      <c r="C38" s="120">
        <v>50</v>
      </c>
      <c r="D38" s="137" t="str">
        <f t="shared" si="0"/>
        <v>60/22.9 - 50</v>
      </c>
    </row>
    <row r="39" spans="2:4" ht="16.5" x14ac:dyDescent="0.3">
      <c r="B39" s="119" t="s">
        <v>327</v>
      </c>
      <c r="C39" s="120">
        <v>50</v>
      </c>
      <c r="D39" s="137" t="str">
        <f t="shared" si="0"/>
        <v>60/10 - 50</v>
      </c>
    </row>
    <row r="40" spans="2:4" ht="15" x14ac:dyDescent="0.3">
      <c r="D40" s="137"/>
    </row>
    <row r="41" spans="2:4" ht="15" x14ac:dyDescent="0.3">
      <c r="D41" s="137"/>
    </row>
    <row r="42" spans="2:4" ht="16.5" x14ac:dyDescent="0.3">
      <c r="B42" s="118" t="s">
        <v>328</v>
      </c>
      <c r="C42" s="120">
        <v>40</v>
      </c>
      <c r="D42" s="137" t="str">
        <f t="shared" si="0"/>
        <v>60/22.9/10 - 40</v>
      </c>
    </row>
    <row r="43" spans="2:4" ht="16.5" x14ac:dyDescent="0.3">
      <c r="B43" s="119" t="s">
        <v>327</v>
      </c>
      <c r="C43" s="118">
        <v>50</v>
      </c>
      <c r="D43" s="137" t="str">
        <f t="shared" si="0"/>
        <v>60/10 - 50</v>
      </c>
    </row>
    <row r="44" spans="2:4" ht="15" x14ac:dyDescent="0.3">
      <c r="D44" s="137"/>
    </row>
    <row r="45" spans="2:4" ht="15" x14ac:dyDescent="0.3">
      <c r="D45" s="137"/>
    </row>
    <row r="46" spans="2:4" ht="15" x14ac:dyDescent="0.3">
      <c r="D46" s="137"/>
    </row>
    <row r="47" spans="2:4" ht="15" x14ac:dyDescent="0.3">
      <c r="D47" s="1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27"/>
  <sheetViews>
    <sheetView workbookViewId="0">
      <selection activeCell="E9" sqref="E9"/>
    </sheetView>
  </sheetViews>
  <sheetFormatPr baseColWidth="10" defaultColWidth="12" defaultRowHeight="14.25" x14ac:dyDescent="0.2"/>
  <cols>
    <col min="1" max="1" width="12" style="147"/>
    <col min="2" max="2" width="26" style="147" bestFit="1" customWidth="1"/>
    <col min="3" max="8" width="12" style="147"/>
    <col min="9" max="9" width="17.5" style="147" bestFit="1" customWidth="1"/>
    <col min="10" max="11" width="12" style="147"/>
    <col min="12" max="12" width="19.6640625" style="147" bestFit="1" customWidth="1"/>
    <col min="13" max="14" width="12" style="147"/>
    <col min="15" max="15" width="14.5" style="147" bestFit="1" customWidth="1"/>
    <col min="16" max="16384" width="12" style="147"/>
  </cols>
  <sheetData>
    <row r="1" spans="2:13" x14ac:dyDescent="0.2">
      <c r="I1" s="147" t="s">
        <v>431</v>
      </c>
      <c r="L1" s="147" t="s">
        <v>430</v>
      </c>
    </row>
    <row r="2" spans="2:13" x14ac:dyDescent="0.2">
      <c r="B2" s="148" t="s">
        <v>321</v>
      </c>
      <c r="C2" s="148" t="s">
        <v>431</v>
      </c>
      <c r="D2" s="148" t="s">
        <v>430</v>
      </c>
      <c r="E2" s="148" t="s">
        <v>563</v>
      </c>
      <c r="F2" s="148" t="s">
        <v>285</v>
      </c>
    </row>
    <row r="3" spans="2:13" x14ac:dyDescent="0.2">
      <c r="B3" s="149" t="s">
        <v>564</v>
      </c>
      <c r="C3" s="148"/>
      <c r="D3" s="148">
        <v>9</v>
      </c>
      <c r="E3" s="148"/>
      <c r="F3" s="148">
        <v>9</v>
      </c>
      <c r="I3" s="147" t="s">
        <v>567</v>
      </c>
      <c r="J3" s="147">
        <v>19</v>
      </c>
    </row>
    <row r="4" spans="2:13" x14ac:dyDescent="0.2">
      <c r="B4" s="149" t="s">
        <v>565</v>
      </c>
      <c r="C4" s="148">
        <v>3</v>
      </c>
      <c r="D4" s="148">
        <v>8</v>
      </c>
      <c r="E4" s="148"/>
      <c r="F4" s="148">
        <v>11</v>
      </c>
      <c r="I4" s="147" t="s">
        <v>565</v>
      </c>
      <c r="J4" s="147">
        <v>3</v>
      </c>
      <c r="L4" s="147" t="s">
        <v>565</v>
      </c>
      <c r="M4" s="147">
        <v>8</v>
      </c>
    </row>
    <row r="5" spans="2:13" x14ac:dyDescent="0.2">
      <c r="B5" s="149" t="s">
        <v>566</v>
      </c>
      <c r="C5" s="148"/>
      <c r="D5" s="148">
        <v>19</v>
      </c>
      <c r="E5" s="148"/>
      <c r="F5" s="148">
        <v>19</v>
      </c>
      <c r="I5" s="147" t="s">
        <v>568</v>
      </c>
      <c r="J5" s="147">
        <v>6</v>
      </c>
      <c r="L5" s="147" t="s">
        <v>568</v>
      </c>
      <c r="M5" s="147">
        <v>1</v>
      </c>
    </row>
    <row r="6" spans="2:13" x14ac:dyDescent="0.2">
      <c r="B6" s="149" t="s">
        <v>567</v>
      </c>
      <c r="C6" s="148">
        <v>18</v>
      </c>
      <c r="D6" s="148"/>
      <c r="E6" s="148">
        <v>1</v>
      </c>
      <c r="F6" s="148">
        <v>19</v>
      </c>
      <c r="I6" s="147" t="s">
        <v>569</v>
      </c>
      <c r="J6" s="147">
        <v>2</v>
      </c>
    </row>
    <row r="7" spans="2:13" x14ac:dyDescent="0.2">
      <c r="B7" s="149" t="s">
        <v>568</v>
      </c>
      <c r="C7" s="148">
        <v>6</v>
      </c>
      <c r="D7" s="148">
        <v>1</v>
      </c>
      <c r="E7" s="148"/>
      <c r="F7" s="148">
        <v>7</v>
      </c>
      <c r="I7" s="147" t="s">
        <v>570</v>
      </c>
      <c r="J7" s="147">
        <v>2</v>
      </c>
    </row>
    <row r="8" spans="2:13" x14ac:dyDescent="0.2">
      <c r="B8" s="149" t="s">
        <v>569</v>
      </c>
      <c r="C8" s="148">
        <v>2</v>
      </c>
      <c r="D8" s="148"/>
      <c r="E8" s="148"/>
      <c r="F8" s="148">
        <v>2</v>
      </c>
      <c r="I8" s="147" t="s">
        <v>571</v>
      </c>
      <c r="J8" s="147">
        <v>1</v>
      </c>
    </row>
    <row r="9" spans="2:13" x14ac:dyDescent="0.2">
      <c r="B9" s="149" t="s">
        <v>570</v>
      </c>
      <c r="C9" s="148">
        <v>2</v>
      </c>
      <c r="D9" s="148"/>
      <c r="E9" s="148"/>
      <c r="F9" s="148">
        <v>2</v>
      </c>
      <c r="I9" s="147" t="s">
        <v>572</v>
      </c>
      <c r="J9" s="147">
        <v>1</v>
      </c>
    </row>
    <row r="10" spans="2:13" x14ac:dyDescent="0.2">
      <c r="B10" s="149" t="s">
        <v>571</v>
      </c>
      <c r="C10" s="148">
        <v>1</v>
      </c>
      <c r="D10" s="148"/>
      <c r="E10" s="148"/>
      <c r="F10" s="148">
        <v>1</v>
      </c>
      <c r="L10" s="147" t="s">
        <v>566</v>
      </c>
      <c r="M10" s="147">
        <v>19</v>
      </c>
    </row>
    <row r="11" spans="2:13" x14ac:dyDescent="0.2">
      <c r="B11" s="149" t="s">
        <v>572</v>
      </c>
      <c r="C11" s="148">
        <v>1</v>
      </c>
      <c r="D11" s="148"/>
      <c r="E11" s="148"/>
      <c r="F11" s="148">
        <v>1</v>
      </c>
      <c r="L11" s="147" t="s">
        <v>564</v>
      </c>
      <c r="M11" s="147">
        <v>9</v>
      </c>
    </row>
    <row r="14" spans="2:13" x14ac:dyDescent="0.2">
      <c r="B14" s="148" t="s">
        <v>321</v>
      </c>
      <c r="C14" s="148" t="s">
        <v>431</v>
      </c>
      <c r="D14" s="148" t="s">
        <v>430</v>
      </c>
      <c r="E14" s="148" t="s">
        <v>563</v>
      </c>
      <c r="F14" s="148" t="s">
        <v>285</v>
      </c>
    </row>
    <row r="15" spans="2:13" x14ac:dyDescent="0.2">
      <c r="B15" s="150" t="s">
        <v>569</v>
      </c>
      <c r="C15" s="151">
        <v>2</v>
      </c>
      <c r="D15" s="151"/>
      <c r="E15" s="151"/>
      <c r="F15" s="151">
        <v>2</v>
      </c>
    </row>
    <row r="16" spans="2:13" x14ac:dyDescent="0.2">
      <c r="B16" s="150" t="s">
        <v>568</v>
      </c>
      <c r="C16" s="151">
        <v>2</v>
      </c>
      <c r="D16" s="151"/>
      <c r="E16" s="151"/>
      <c r="F16" s="151">
        <v>2</v>
      </c>
    </row>
    <row r="17" spans="2:13" x14ac:dyDescent="0.2">
      <c r="B17" s="150" t="s">
        <v>565</v>
      </c>
      <c r="C17" s="151">
        <v>1</v>
      </c>
      <c r="D17" s="151">
        <v>1</v>
      </c>
      <c r="E17" s="151"/>
      <c r="F17" s="151">
        <v>2</v>
      </c>
    </row>
    <row r="18" spans="2:13" x14ac:dyDescent="0.2">
      <c r="B18" s="150" t="s">
        <v>575</v>
      </c>
      <c r="C18" s="151">
        <v>1</v>
      </c>
      <c r="D18" s="151"/>
      <c r="E18" s="151"/>
      <c r="F18" s="151">
        <v>1</v>
      </c>
    </row>
    <row r="19" spans="2:13" x14ac:dyDescent="0.2">
      <c r="B19" s="150" t="s">
        <v>567</v>
      </c>
      <c r="C19" s="151">
        <v>3</v>
      </c>
      <c r="D19" s="151"/>
      <c r="E19" s="151"/>
      <c r="F19" s="151">
        <v>3</v>
      </c>
    </row>
    <row r="20" spans="2:13" x14ac:dyDescent="0.2">
      <c r="B20" s="150" t="s">
        <v>566</v>
      </c>
      <c r="C20" s="151"/>
      <c r="D20" s="151">
        <v>1</v>
      </c>
      <c r="E20" s="151"/>
      <c r="F20" s="151">
        <v>1</v>
      </c>
    </row>
    <row r="21" spans="2:13" x14ac:dyDescent="0.2">
      <c r="I21" s="147" t="s">
        <v>585</v>
      </c>
      <c r="L21" s="147" t="s">
        <v>585</v>
      </c>
    </row>
    <row r="23" spans="2:13" x14ac:dyDescent="0.2">
      <c r="I23" s="147" t="s">
        <v>569</v>
      </c>
      <c r="J23" s="147">
        <v>2</v>
      </c>
      <c r="L23" s="147" t="s">
        <v>565</v>
      </c>
      <c r="M23" s="147">
        <v>1</v>
      </c>
    </row>
    <row r="24" spans="2:13" x14ac:dyDescent="0.2">
      <c r="I24" s="147" t="s">
        <v>568</v>
      </c>
      <c r="J24" s="147">
        <v>2</v>
      </c>
      <c r="L24" s="147" t="s">
        <v>566</v>
      </c>
      <c r="M24" s="147">
        <v>1</v>
      </c>
    </row>
    <row r="25" spans="2:13" x14ac:dyDescent="0.2">
      <c r="I25" s="147" t="s">
        <v>575</v>
      </c>
      <c r="J25" s="147">
        <v>1</v>
      </c>
    </row>
    <row r="26" spans="2:13" x14ac:dyDescent="0.2">
      <c r="I26" s="147" t="s">
        <v>567</v>
      </c>
      <c r="J26" s="147">
        <v>3</v>
      </c>
    </row>
    <row r="27" spans="2:13" x14ac:dyDescent="0.2">
      <c r="I27" s="147" t="s">
        <v>565</v>
      </c>
      <c r="J27" s="14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13"/>
  <sheetViews>
    <sheetView workbookViewId="0">
      <selection activeCell="D38" sqref="D38"/>
    </sheetView>
  </sheetViews>
  <sheetFormatPr baseColWidth="10" defaultRowHeight="13.5" x14ac:dyDescent="0.3"/>
  <cols>
    <col min="3" max="3" width="23" bestFit="1" customWidth="1"/>
    <col min="4" max="4" width="18.1640625" customWidth="1"/>
    <col min="5" max="5" width="12.33203125" customWidth="1"/>
    <col min="6" max="6" width="17.1640625" customWidth="1"/>
    <col min="7" max="7" width="37.83203125" customWidth="1"/>
    <col min="8" max="8" width="18.5" customWidth="1"/>
    <col min="9" max="9" width="11.5" customWidth="1"/>
    <col min="10" max="10" width="0" hidden="1" customWidth="1"/>
    <col min="11" max="11" width="18.6640625" bestFit="1" customWidth="1"/>
    <col min="12" max="14" width="18.6640625" customWidth="1"/>
    <col min="15" max="16" width="20.1640625" customWidth="1"/>
  </cols>
  <sheetData>
    <row r="2" spans="1:19" ht="31.5" x14ac:dyDescent="0.3">
      <c r="B2" s="64" t="s">
        <v>31</v>
      </c>
      <c r="C2" s="40" t="s">
        <v>32</v>
      </c>
      <c r="D2" s="40" t="s">
        <v>33</v>
      </c>
      <c r="E2" s="40" t="s">
        <v>34</v>
      </c>
      <c r="F2" s="40" t="s">
        <v>35</v>
      </c>
      <c r="G2" s="65" t="s">
        <v>36</v>
      </c>
      <c r="H2" s="40" t="s">
        <v>37</v>
      </c>
      <c r="I2" s="65" t="s">
        <v>38</v>
      </c>
      <c r="J2" s="40" t="s">
        <v>276</v>
      </c>
      <c r="K2" s="60" t="s">
        <v>40</v>
      </c>
      <c r="L2" s="106" t="s">
        <v>517</v>
      </c>
      <c r="M2" s="106" t="s">
        <v>511</v>
      </c>
      <c r="N2" s="106" t="s">
        <v>512</v>
      </c>
      <c r="O2" s="8" t="s">
        <v>242</v>
      </c>
      <c r="P2" s="8" t="s">
        <v>557</v>
      </c>
    </row>
    <row r="3" spans="1:19" ht="16.5" x14ac:dyDescent="0.3">
      <c r="B3" s="22">
        <v>23</v>
      </c>
      <c r="C3" s="14" t="s">
        <v>10</v>
      </c>
      <c r="D3" s="14">
        <v>50</v>
      </c>
      <c r="E3" s="14" t="s">
        <v>343</v>
      </c>
      <c r="F3" s="14">
        <v>50</v>
      </c>
      <c r="G3" s="14" t="s">
        <v>129</v>
      </c>
      <c r="H3" s="14" t="s">
        <v>119</v>
      </c>
      <c r="I3" s="14">
        <v>2014</v>
      </c>
      <c r="J3" s="14">
        <v>60006315</v>
      </c>
      <c r="K3" s="14">
        <v>146917</v>
      </c>
      <c r="L3" s="118" t="s">
        <v>430</v>
      </c>
      <c r="M3" s="118" t="s">
        <v>329</v>
      </c>
      <c r="N3" s="120">
        <v>50</v>
      </c>
      <c r="O3" s="128" t="s">
        <v>218</v>
      </c>
      <c r="P3" s="80" t="s">
        <v>573</v>
      </c>
    </row>
    <row r="4" spans="1:19" s="79" customFormat="1" ht="16.5" customHeight="1" x14ac:dyDescent="0.3">
      <c r="A4"/>
      <c r="B4" s="22">
        <v>56</v>
      </c>
      <c r="C4" s="14" t="s">
        <v>4</v>
      </c>
      <c r="D4" s="14">
        <v>50</v>
      </c>
      <c r="E4" s="14" t="s">
        <v>342</v>
      </c>
      <c r="F4" s="14">
        <v>50</v>
      </c>
      <c r="G4" s="14" t="s">
        <v>118</v>
      </c>
      <c r="H4" s="14" t="s">
        <v>43</v>
      </c>
      <c r="I4" s="14">
        <v>2013</v>
      </c>
      <c r="J4" s="14">
        <v>60005611</v>
      </c>
      <c r="K4" s="14">
        <v>364078</v>
      </c>
      <c r="L4" s="118" t="s">
        <v>430</v>
      </c>
      <c r="M4" s="119" t="s">
        <v>327</v>
      </c>
      <c r="N4" s="120">
        <v>50</v>
      </c>
      <c r="O4" s="128" t="s">
        <v>218</v>
      </c>
      <c r="P4" s="80" t="s">
        <v>573</v>
      </c>
      <c r="S4"/>
    </row>
    <row r="5" spans="1:19" s="79" customFormat="1" ht="16.5" x14ac:dyDescent="0.3">
      <c r="A5"/>
      <c r="B5" s="22">
        <v>72</v>
      </c>
      <c r="C5" s="14" t="s">
        <v>54</v>
      </c>
      <c r="D5" s="14">
        <v>17.2</v>
      </c>
      <c r="E5" s="14" t="s">
        <v>218</v>
      </c>
      <c r="F5" s="14" t="s">
        <v>135</v>
      </c>
      <c r="G5" s="14" t="s">
        <v>269</v>
      </c>
      <c r="H5" s="14" t="s">
        <v>167</v>
      </c>
      <c r="I5" s="14">
        <v>1982</v>
      </c>
      <c r="J5" s="14" t="s">
        <v>258</v>
      </c>
      <c r="K5" s="14" t="s">
        <v>259</v>
      </c>
      <c r="L5" s="94" t="s">
        <v>431</v>
      </c>
      <c r="M5" s="94" t="s">
        <v>327</v>
      </c>
      <c r="N5" s="108">
        <v>17.2</v>
      </c>
      <c r="O5" s="129" t="s">
        <v>218</v>
      </c>
      <c r="P5" s="80" t="s">
        <v>558</v>
      </c>
      <c r="Q5" s="85"/>
      <c r="S5"/>
    </row>
    <row r="6" spans="1:19" s="79" customFormat="1" ht="16.5" x14ac:dyDescent="0.3">
      <c r="A6"/>
      <c r="B6" s="22">
        <v>73</v>
      </c>
      <c r="C6" s="14" t="s">
        <v>20</v>
      </c>
      <c r="D6" s="14">
        <v>17.2</v>
      </c>
      <c r="E6" s="14" t="s">
        <v>218</v>
      </c>
      <c r="F6" s="14" t="s">
        <v>135</v>
      </c>
      <c r="G6" s="14" t="s">
        <v>269</v>
      </c>
      <c r="H6" s="14" t="s">
        <v>167</v>
      </c>
      <c r="I6" s="14">
        <v>1982</v>
      </c>
      <c r="J6" s="14">
        <v>500066</v>
      </c>
      <c r="K6" s="14" t="s">
        <v>260</v>
      </c>
      <c r="L6" s="94" t="s">
        <v>431</v>
      </c>
      <c r="M6" s="94" t="s">
        <v>327</v>
      </c>
      <c r="N6" s="108">
        <v>17.2</v>
      </c>
      <c r="O6" s="129" t="s">
        <v>218</v>
      </c>
      <c r="P6" s="80" t="s">
        <v>558</v>
      </c>
      <c r="Q6" s="85"/>
      <c r="S6"/>
    </row>
    <row r="7" spans="1:19" s="84" customFormat="1" ht="16.5" x14ac:dyDescent="0.3">
      <c r="A7" s="24"/>
      <c r="B7" s="22">
        <v>74</v>
      </c>
      <c r="C7" s="14" t="s">
        <v>6</v>
      </c>
      <c r="D7" s="14">
        <v>25</v>
      </c>
      <c r="E7" s="14" t="s">
        <v>218</v>
      </c>
      <c r="F7" s="14" t="s">
        <v>163</v>
      </c>
      <c r="G7" s="14" t="s">
        <v>270</v>
      </c>
      <c r="H7" s="14" t="s">
        <v>50</v>
      </c>
      <c r="I7" s="14">
        <v>2005</v>
      </c>
      <c r="J7" s="14">
        <v>60002888</v>
      </c>
      <c r="K7" s="14" t="s">
        <v>244</v>
      </c>
      <c r="L7" s="94" t="s">
        <v>431</v>
      </c>
      <c r="M7" s="94" t="s">
        <v>328</v>
      </c>
      <c r="N7" s="108">
        <v>25</v>
      </c>
      <c r="O7" s="129" t="s">
        <v>218</v>
      </c>
      <c r="P7" s="80" t="s">
        <v>558</v>
      </c>
      <c r="Q7" s="86"/>
      <c r="S7"/>
    </row>
    <row r="8" spans="1:19" s="79" customFormat="1" ht="16.5" x14ac:dyDescent="0.3">
      <c r="A8"/>
      <c r="B8" s="22">
        <v>75</v>
      </c>
      <c r="C8" s="19" t="s">
        <v>21</v>
      </c>
      <c r="D8" s="17">
        <v>25</v>
      </c>
      <c r="E8" s="11" t="s">
        <v>218</v>
      </c>
      <c r="F8" s="11" t="s">
        <v>163</v>
      </c>
      <c r="G8" s="17" t="s">
        <v>124</v>
      </c>
      <c r="H8" s="11" t="s">
        <v>119</v>
      </c>
      <c r="I8" s="17">
        <v>2002</v>
      </c>
      <c r="J8" s="11">
        <v>60001997</v>
      </c>
      <c r="K8" s="17" t="s">
        <v>254</v>
      </c>
      <c r="L8" s="94" t="s">
        <v>431</v>
      </c>
      <c r="M8" s="94" t="s">
        <v>328</v>
      </c>
      <c r="N8" s="108">
        <v>25</v>
      </c>
      <c r="O8" s="129" t="s">
        <v>218</v>
      </c>
      <c r="P8" s="80" t="s">
        <v>558</v>
      </c>
      <c r="S8"/>
    </row>
    <row r="9" spans="1:19" s="79" customFormat="1" ht="16.5" x14ac:dyDescent="0.3">
      <c r="A9"/>
      <c r="B9" s="22">
        <v>77</v>
      </c>
      <c r="C9" s="14" t="s">
        <v>25</v>
      </c>
      <c r="D9" s="14">
        <v>12.5</v>
      </c>
      <c r="E9" s="11" t="s">
        <v>218</v>
      </c>
      <c r="F9" s="14" t="s">
        <v>247</v>
      </c>
      <c r="G9" s="14" t="s">
        <v>271</v>
      </c>
      <c r="H9" s="12" t="s">
        <v>275</v>
      </c>
      <c r="I9" s="18" t="s">
        <v>306</v>
      </c>
      <c r="J9" s="12" t="s">
        <v>245</v>
      </c>
      <c r="K9" s="18" t="s">
        <v>246</v>
      </c>
      <c r="L9" s="94" t="s">
        <v>431</v>
      </c>
      <c r="M9" s="94" t="s">
        <v>327</v>
      </c>
      <c r="N9" s="108">
        <v>12.5</v>
      </c>
      <c r="O9" s="129" t="s">
        <v>218</v>
      </c>
      <c r="P9" s="80" t="s">
        <v>558</v>
      </c>
      <c r="S9"/>
    </row>
    <row r="10" spans="1:19" ht="16.5" x14ac:dyDescent="0.3">
      <c r="B10" s="22">
        <v>78</v>
      </c>
      <c r="C10" s="14" t="s">
        <v>28</v>
      </c>
      <c r="D10" s="22">
        <v>25</v>
      </c>
      <c r="E10" s="14" t="s">
        <v>218</v>
      </c>
      <c r="F10" s="14" t="s">
        <v>116</v>
      </c>
      <c r="G10" s="14" t="s">
        <v>166</v>
      </c>
      <c r="H10" s="14" t="s">
        <v>167</v>
      </c>
      <c r="I10" s="14">
        <v>1980</v>
      </c>
      <c r="J10" s="25" t="s">
        <v>205</v>
      </c>
      <c r="K10" s="25" t="s">
        <v>206</v>
      </c>
      <c r="L10" s="121" t="s">
        <v>431</v>
      </c>
      <c r="M10" s="121" t="s">
        <v>327</v>
      </c>
      <c r="N10" s="122">
        <v>25</v>
      </c>
      <c r="O10" s="129" t="s">
        <v>218</v>
      </c>
      <c r="P10" s="80" t="s">
        <v>558</v>
      </c>
    </row>
    <row r="11" spans="1:19" s="84" customFormat="1" ht="16.5" x14ac:dyDescent="0.3">
      <c r="A11" s="24"/>
      <c r="B11" s="22">
        <v>80</v>
      </c>
      <c r="C11" s="14" t="s">
        <v>555</v>
      </c>
      <c r="D11" s="22">
        <v>40</v>
      </c>
      <c r="E11" s="14" t="s">
        <v>218</v>
      </c>
      <c r="F11" s="14" t="s">
        <v>109</v>
      </c>
      <c r="G11" s="14" t="s">
        <v>110</v>
      </c>
      <c r="H11" s="14" t="s">
        <v>50</v>
      </c>
      <c r="I11" s="14">
        <v>2004</v>
      </c>
      <c r="J11" s="14">
        <v>60002765</v>
      </c>
      <c r="K11" s="14" t="s">
        <v>176</v>
      </c>
      <c r="L11" s="123" t="s">
        <v>431</v>
      </c>
      <c r="M11" s="123" t="s">
        <v>328</v>
      </c>
      <c r="N11" s="123">
        <v>40</v>
      </c>
      <c r="O11" s="129" t="s">
        <v>218</v>
      </c>
      <c r="P11" s="80" t="s">
        <v>583</v>
      </c>
      <c r="S11"/>
    </row>
    <row r="12" spans="1:19" s="84" customFormat="1" ht="16.5" x14ac:dyDescent="0.3">
      <c r="A12" s="24"/>
      <c r="B12" s="22">
        <v>81</v>
      </c>
      <c r="C12" s="14" t="s">
        <v>556</v>
      </c>
      <c r="D12" s="14">
        <v>25</v>
      </c>
      <c r="E12" s="14" t="s">
        <v>218</v>
      </c>
      <c r="F12" s="14" t="s">
        <v>116</v>
      </c>
      <c r="G12" s="14" t="s">
        <v>166</v>
      </c>
      <c r="H12" s="14" t="s">
        <v>167</v>
      </c>
      <c r="I12" s="14">
        <v>1977</v>
      </c>
      <c r="J12" s="25" t="s">
        <v>168</v>
      </c>
      <c r="K12" s="25" t="s">
        <v>169</v>
      </c>
      <c r="L12" s="115" t="s">
        <v>431</v>
      </c>
      <c r="M12" s="115" t="s">
        <v>327</v>
      </c>
      <c r="N12" s="116">
        <v>25</v>
      </c>
      <c r="O12" s="129" t="s">
        <v>218</v>
      </c>
      <c r="P12" s="80" t="s">
        <v>559</v>
      </c>
      <c r="S12"/>
    </row>
    <row r="13" spans="1:19" s="84" customFormat="1" ht="16.5" x14ac:dyDescent="0.3">
      <c r="A13" s="24"/>
      <c r="B13" s="22">
        <v>82</v>
      </c>
      <c r="C13" s="14" t="s">
        <v>553</v>
      </c>
      <c r="D13" s="14">
        <v>25</v>
      </c>
      <c r="E13" s="14" t="s">
        <v>218</v>
      </c>
      <c r="F13" s="14" t="s">
        <v>116</v>
      </c>
      <c r="G13" s="14" t="s">
        <v>166</v>
      </c>
      <c r="H13" s="14" t="s">
        <v>167</v>
      </c>
      <c r="I13" s="14">
        <v>1977</v>
      </c>
      <c r="J13" s="25" t="s">
        <v>174</v>
      </c>
      <c r="K13" s="25" t="s">
        <v>175</v>
      </c>
      <c r="L13" s="115" t="s">
        <v>431</v>
      </c>
      <c r="M13" s="115" t="s">
        <v>327</v>
      </c>
      <c r="N13" s="116">
        <v>25</v>
      </c>
      <c r="O13" s="129" t="s">
        <v>218</v>
      </c>
      <c r="P13" s="80" t="s">
        <v>559</v>
      </c>
      <c r="S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Transformadores</vt:lpstr>
      <vt:lpstr>Hoja1</vt:lpstr>
      <vt:lpstr>Reservas Oficiales</vt:lpstr>
      <vt:lpstr>Osinergmin</vt:lpstr>
      <vt:lpstr>SST</vt:lpstr>
      <vt:lpstr>SCT</vt:lpstr>
      <vt:lpstr>Resumen</vt:lpstr>
      <vt:lpstr>Reservas</vt:lpstr>
    </vt:vector>
  </TitlesOfParts>
  <Company>Luz del Sur S.A.A.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Borsi F. Romero Albújar</dc:creator>
  <cp:lastModifiedBy>Ronald Quispe Ocaña</cp:lastModifiedBy>
  <cp:lastPrinted>2024-09-03T14:58:13Z</cp:lastPrinted>
  <dcterms:created xsi:type="dcterms:W3CDTF">2011-04-14T21:08:34Z</dcterms:created>
  <dcterms:modified xsi:type="dcterms:W3CDTF">2025-10-09T23:06:23Z</dcterms:modified>
</cp:coreProperties>
</file>