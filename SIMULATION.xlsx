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uzdelsurlds-my.sharepoint.com/personal/mticllacu_luzdelsur_com_pe/Documents/Escritorio/"/>
    </mc:Choice>
  </mc:AlternateContent>
  <xr:revisionPtr revIDLastSave="5" documentId="8_{3E0831BB-F625-48A5-A8E3-F3ACBF731AA9}" xr6:coauthVersionLast="47" xr6:coauthVersionMax="47" xr10:uidLastSave="{8AFCC584-3A71-4F60-9236-1E135F20789E}"/>
  <bookViews>
    <workbookView xWindow="-120" yWindow="-16320" windowWidth="29040" windowHeight="15840" activeTab="4" xr2:uid="{3F770543-94E7-4750-8855-8CF944D27C8C}"/>
  </bookViews>
  <sheets>
    <sheet name="BDTRAFOS" sheetId="3" r:id="rId1"/>
    <sheet name="HI" sheetId="1" r:id="rId2"/>
    <sheet name="HIDGA" sheetId="2" r:id="rId3"/>
    <sheet name="HIACE" sheetId="4" r:id="rId4"/>
    <sheet name="HIAIS" sheetId="5" r:id="rId5"/>
    <sheet name="HIARR" sheetId="6" r:id="rId6"/>
    <sheet name="HINUC" sheetId="7" r:id="rId7"/>
    <sheet name="HIOLTC" sheetId="8" r:id="rId8"/>
    <sheet name="HIBUS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6" i="1" l="1"/>
  <c r="C37" i="1"/>
  <c r="C38" i="1"/>
  <c r="C39" i="1"/>
  <c r="C40" i="1"/>
  <c r="C41" i="1"/>
  <c r="C42" i="1"/>
  <c r="C43" i="1"/>
  <c r="C35" i="1"/>
  <c r="C25" i="1"/>
  <c r="C26" i="1"/>
  <c r="C27" i="1"/>
  <c r="C28" i="1"/>
  <c r="C29" i="1"/>
  <c r="C30" i="1"/>
  <c r="C31" i="1"/>
  <c r="C32" i="1"/>
  <c r="C33" i="1"/>
  <c r="C34" i="1"/>
  <c r="C24" i="1"/>
  <c r="E4" i="9"/>
  <c r="F4" i="9"/>
  <c r="G4" i="9"/>
  <c r="H4" i="9"/>
  <c r="I4" i="9"/>
  <c r="K3" i="1"/>
  <c r="J3" i="1"/>
  <c r="I3" i="1"/>
  <c r="H3" i="1"/>
  <c r="G3" i="1"/>
  <c r="F3" i="1"/>
  <c r="E3" i="1"/>
  <c r="I13" i="9"/>
  <c r="I12" i="9"/>
  <c r="I11" i="9"/>
  <c r="I10" i="9"/>
  <c r="I9" i="9"/>
  <c r="I8" i="9"/>
  <c r="I7" i="9"/>
  <c r="I6" i="9"/>
  <c r="I5" i="9"/>
  <c r="H13" i="9"/>
  <c r="H12" i="9"/>
  <c r="H11" i="9"/>
  <c r="H10" i="9"/>
  <c r="H9" i="9"/>
  <c r="H8" i="9"/>
  <c r="H7" i="9"/>
  <c r="H6" i="9"/>
  <c r="H5" i="9"/>
  <c r="G13" i="9"/>
  <c r="G12" i="9"/>
  <c r="G11" i="9"/>
  <c r="G10" i="9"/>
  <c r="G9" i="9"/>
  <c r="G8" i="9"/>
  <c r="G7" i="9"/>
  <c r="G6" i="9"/>
  <c r="G5" i="9"/>
  <c r="F13" i="9"/>
  <c r="F12" i="9"/>
  <c r="F11" i="9"/>
  <c r="F10" i="9"/>
  <c r="F9" i="9"/>
  <c r="F8" i="9"/>
  <c r="F7" i="9"/>
  <c r="F6" i="9"/>
  <c r="F5" i="9"/>
  <c r="E13" i="9"/>
  <c r="E12" i="9"/>
  <c r="E11" i="9"/>
  <c r="E10" i="9"/>
  <c r="E9" i="9"/>
  <c r="E8" i="9"/>
  <c r="E7" i="9"/>
  <c r="E6" i="9"/>
  <c r="E5" i="9"/>
  <c r="C13" i="9"/>
  <c r="C12" i="9"/>
  <c r="C11" i="9"/>
  <c r="C10" i="9"/>
  <c r="C9" i="9"/>
  <c r="C8" i="9"/>
  <c r="C7" i="9"/>
  <c r="C6" i="9"/>
  <c r="C5" i="9"/>
  <c r="C4" i="9"/>
  <c r="E13" i="8"/>
  <c r="E12" i="8"/>
  <c r="E11" i="8"/>
  <c r="E10" i="8"/>
  <c r="E9" i="8"/>
  <c r="E8" i="8"/>
  <c r="E7" i="8"/>
  <c r="E6" i="8"/>
  <c r="E5" i="8"/>
  <c r="E4" i="8"/>
  <c r="F13" i="8"/>
  <c r="C13" i="8"/>
  <c r="F12" i="8"/>
  <c r="C12" i="8"/>
  <c r="F11" i="8"/>
  <c r="C11" i="8"/>
  <c r="F10" i="8"/>
  <c r="C10" i="8"/>
  <c r="F9" i="8"/>
  <c r="C9" i="8"/>
  <c r="F8" i="8"/>
  <c r="C8" i="8"/>
  <c r="F7" i="8"/>
  <c r="C7" i="8"/>
  <c r="F6" i="8"/>
  <c r="C6" i="8"/>
  <c r="F5" i="8"/>
  <c r="C5" i="8"/>
  <c r="F4" i="8"/>
  <c r="C4" i="8"/>
  <c r="G13" i="7"/>
  <c r="G12" i="7"/>
  <c r="G11" i="7"/>
  <c r="G10" i="7"/>
  <c r="G9" i="7"/>
  <c r="G8" i="7"/>
  <c r="G7" i="7"/>
  <c r="G6" i="7"/>
  <c r="G5" i="7"/>
  <c r="G4" i="7"/>
  <c r="E13" i="7"/>
  <c r="E12" i="7"/>
  <c r="E11" i="7"/>
  <c r="E10" i="7"/>
  <c r="E9" i="7"/>
  <c r="E8" i="7"/>
  <c r="E7" i="7"/>
  <c r="E6" i="7"/>
  <c r="E5" i="7"/>
  <c r="E4" i="7"/>
  <c r="F13" i="7"/>
  <c r="C13" i="7"/>
  <c r="F12" i="7"/>
  <c r="C12" i="7"/>
  <c r="F11" i="7"/>
  <c r="C11" i="7"/>
  <c r="F10" i="7"/>
  <c r="C10" i="7"/>
  <c r="F9" i="7"/>
  <c r="C9" i="7"/>
  <c r="F8" i="7"/>
  <c r="C8" i="7"/>
  <c r="F7" i="7"/>
  <c r="C7" i="7"/>
  <c r="F6" i="7"/>
  <c r="C6" i="7"/>
  <c r="F5" i="7"/>
  <c r="C5" i="7"/>
  <c r="F4" i="7"/>
  <c r="C4" i="7"/>
  <c r="F13" i="6"/>
  <c r="F12" i="6"/>
  <c r="F11" i="6"/>
  <c r="F10" i="6"/>
  <c r="F9" i="6"/>
  <c r="F8" i="6"/>
  <c r="F7" i="6"/>
  <c r="F6" i="6"/>
  <c r="F5" i="6"/>
  <c r="F4" i="6"/>
  <c r="E13" i="6"/>
  <c r="E12" i="6"/>
  <c r="E11" i="6"/>
  <c r="E10" i="6"/>
  <c r="E9" i="6"/>
  <c r="E8" i="6"/>
  <c r="E7" i="6"/>
  <c r="E6" i="6"/>
  <c r="E5" i="6"/>
  <c r="E4" i="6"/>
  <c r="G5" i="6"/>
  <c r="G6" i="6"/>
  <c r="G7" i="6"/>
  <c r="G8" i="6"/>
  <c r="G9" i="6"/>
  <c r="G10" i="6"/>
  <c r="G11" i="6"/>
  <c r="G12" i="6"/>
  <c r="G13" i="6"/>
  <c r="G4" i="6"/>
  <c r="C13" i="6"/>
  <c r="C12" i="6"/>
  <c r="C11" i="6"/>
  <c r="C10" i="6"/>
  <c r="C9" i="6"/>
  <c r="C8" i="6"/>
  <c r="C7" i="6"/>
  <c r="C6" i="6"/>
  <c r="C5" i="6"/>
  <c r="C4" i="6"/>
  <c r="I13" i="5"/>
  <c r="I12" i="5"/>
  <c r="I11" i="5"/>
  <c r="I10" i="5"/>
  <c r="I9" i="5"/>
  <c r="I8" i="5"/>
  <c r="I7" i="5"/>
  <c r="I6" i="5"/>
  <c r="I5" i="5"/>
  <c r="I4" i="5"/>
  <c r="H13" i="5"/>
  <c r="H12" i="5"/>
  <c r="H11" i="5"/>
  <c r="H10" i="5"/>
  <c r="H9" i="5"/>
  <c r="H8" i="5"/>
  <c r="H7" i="5"/>
  <c r="H6" i="5"/>
  <c r="H5" i="5"/>
  <c r="H4" i="5"/>
  <c r="G13" i="5"/>
  <c r="G12" i="5"/>
  <c r="G11" i="5"/>
  <c r="G10" i="5"/>
  <c r="G9" i="5"/>
  <c r="G8" i="5"/>
  <c r="G7" i="5"/>
  <c r="G6" i="5"/>
  <c r="G5" i="5"/>
  <c r="G4" i="5"/>
  <c r="F13" i="5"/>
  <c r="F12" i="5"/>
  <c r="F11" i="5"/>
  <c r="F10" i="5"/>
  <c r="F9" i="5"/>
  <c r="F8" i="5"/>
  <c r="F7" i="5"/>
  <c r="F6" i="5"/>
  <c r="F5" i="5"/>
  <c r="F4" i="5"/>
  <c r="E13" i="5"/>
  <c r="E12" i="5"/>
  <c r="E11" i="5"/>
  <c r="E10" i="5"/>
  <c r="E9" i="5"/>
  <c r="E8" i="5"/>
  <c r="E7" i="5"/>
  <c r="E6" i="5"/>
  <c r="E5" i="5"/>
  <c r="E4" i="5"/>
  <c r="C13" i="5"/>
  <c r="C12" i="5"/>
  <c r="C11" i="5"/>
  <c r="C10" i="5"/>
  <c r="C9" i="5"/>
  <c r="C8" i="5"/>
  <c r="C7" i="5"/>
  <c r="C6" i="5"/>
  <c r="C5" i="5"/>
  <c r="C4" i="5"/>
  <c r="E5" i="4"/>
  <c r="F5" i="4"/>
  <c r="G5" i="4"/>
  <c r="H5" i="4"/>
  <c r="I5" i="4"/>
  <c r="J5" i="4"/>
  <c r="K5" i="4"/>
  <c r="L5" i="4"/>
  <c r="E6" i="4"/>
  <c r="F6" i="4"/>
  <c r="G6" i="4"/>
  <c r="H6" i="4"/>
  <c r="I6" i="4"/>
  <c r="J6" i="4"/>
  <c r="K6" i="4"/>
  <c r="L6" i="4"/>
  <c r="E7" i="4"/>
  <c r="F7" i="4"/>
  <c r="G7" i="4"/>
  <c r="H7" i="4"/>
  <c r="I7" i="4"/>
  <c r="J7" i="4"/>
  <c r="K7" i="4"/>
  <c r="L7" i="4"/>
  <c r="E8" i="4"/>
  <c r="F8" i="4"/>
  <c r="G8" i="4"/>
  <c r="H8" i="4"/>
  <c r="I8" i="4"/>
  <c r="J8" i="4"/>
  <c r="K8" i="4"/>
  <c r="L8" i="4"/>
  <c r="E9" i="4"/>
  <c r="F9" i="4"/>
  <c r="G9" i="4"/>
  <c r="H9" i="4"/>
  <c r="I9" i="4"/>
  <c r="J9" i="4"/>
  <c r="K9" i="4"/>
  <c r="L9" i="4"/>
  <c r="E10" i="4"/>
  <c r="F10" i="4"/>
  <c r="G10" i="4"/>
  <c r="H10" i="4"/>
  <c r="I10" i="4"/>
  <c r="J10" i="4"/>
  <c r="K10" i="4"/>
  <c r="L10" i="4"/>
  <c r="E11" i="4"/>
  <c r="F11" i="4"/>
  <c r="G11" i="4"/>
  <c r="H11" i="4"/>
  <c r="I11" i="4"/>
  <c r="J11" i="4"/>
  <c r="K11" i="4"/>
  <c r="L11" i="4"/>
  <c r="E12" i="4"/>
  <c r="F12" i="4"/>
  <c r="G12" i="4"/>
  <c r="H12" i="4"/>
  <c r="I12" i="4"/>
  <c r="J12" i="4"/>
  <c r="K12" i="4"/>
  <c r="L12" i="4"/>
  <c r="E13" i="4"/>
  <c r="F13" i="4"/>
  <c r="G13" i="4"/>
  <c r="H13" i="4"/>
  <c r="I13" i="4"/>
  <c r="J13" i="4"/>
  <c r="K13" i="4"/>
  <c r="L13" i="4"/>
  <c r="F4" i="4"/>
  <c r="G4" i="4"/>
  <c r="H4" i="4"/>
  <c r="I4" i="4"/>
  <c r="J4" i="4"/>
  <c r="K4" i="4"/>
  <c r="L4" i="4"/>
  <c r="E4" i="4"/>
  <c r="C13" i="4"/>
  <c r="C12" i="4"/>
  <c r="C11" i="4"/>
  <c r="C10" i="4"/>
  <c r="C9" i="4"/>
  <c r="C8" i="4"/>
  <c r="C7" i="4"/>
  <c r="C6" i="4"/>
  <c r="C5" i="4"/>
  <c r="C4" i="4"/>
  <c r="K13" i="2"/>
  <c r="J13" i="2"/>
  <c r="I13" i="2"/>
  <c r="H13" i="2"/>
  <c r="G13" i="2"/>
  <c r="F13" i="2"/>
  <c r="E13" i="2"/>
  <c r="K12" i="2"/>
  <c r="J12" i="2"/>
  <c r="I12" i="2"/>
  <c r="H12" i="2"/>
  <c r="G12" i="2"/>
  <c r="F12" i="2"/>
  <c r="E12" i="2"/>
  <c r="K11" i="2"/>
  <c r="J11" i="2"/>
  <c r="I11" i="2"/>
  <c r="H11" i="2"/>
  <c r="G11" i="2"/>
  <c r="F11" i="2"/>
  <c r="E11" i="2"/>
  <c r="K10" i="2"/>
  <c r="J10" i="2"/>
  <c r="I10" i="2"/>
  <c r="H10" i="2"/>
  <c r="G10" i="2"/>
  <c r="F10" i="2"/>
  <c r="E10" i="2"/>
  <c r="K9" i="2"/>
  <c r="J9" i="2"/>
  <c r="I9" i="2"/>
  <c r="H9" i="2"/>
  <c r="G9" i="2"/>
  <c r="F9" i="2"/>
  <c r="E9" i="2"/>
  <c r="K8" i="2"/>
  <c r="J8" i="2"/>
  <c r="I8" i="2"/>
  <c r="H8" i="2"/>
  <c r="G8" i="2"/>
  <c r="F8" i="2"/>
  <c r="E8" i="2"/>
  <c r="K7" i="2"/>
  <c r="J7" i="2"/>
  <c r="I7" i="2"/>
  <c r="H7" i="2"/>
  <c r="G7" i="2"/>
  <c r="F7" i="2"/>
  <c r="E7" i="2"/>
  <c r="K6" i="2"/>
  <c r="J6" i="2"/>
  <c r="I6" i="2"/>
  <c r="H6" i="2"/>
  <c r="G6" i="2"/>
  <c r="F6" i="2"/>
  <c r="E6" i="2"/>
  <c r="K5" i="2"/>
  <c r="J5" i="2"/>
  <c r="I5" i="2"/>
  <c r="H5" i="2"/>
  <c r="G5" i="2"/>
  <c r="F5" i="2"/>
  <c r="E5" i="2"/>
  <c r="K4" i="2"/>
  <c r="J4" i="2"/>
  <c r="I4" i="2"/>
  <c r="H4" i="2"/>
  <c r="G4" i="2"/>
  <c r="F4" i="2"/>
  <c r="E4" i="2"/>
  <c r="C5" i="2"/>
  <c r="C6" i="2"/>
  <c r="C7" i="2"/>
  <c r="C8" i="2"/>
  <c r="C9" i="2"/>
  <c r="C10" i="2"/>
  <c r="C11" i="2"/>
  <c r="C12" i="2"/>
  <c r="C13" i="2"/>
  <c r="C4" i="2"/>
  <c r="D23" i="1"/>
  <c r="D22" i="1"/>
  <c r="D21" i="1"/>
  <c r="D20" i="1"/>
  <c r="D19" i="1"/>
  <c r="D18" i="1"/>
  <c r="D17" i="1"/>
  <c r="D16" i="1"/>
  <c r="D15" i="1"/>
  <c r="D1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D9" i="9" l="1"/>
  <c r="K9" i="1" s="1"/>
  <c r="D8" i="9"/>
  <c r="K8" i="1" s="1"/>
  <c r="D10" i="9"/>
  <c r="K10" i="1" s="1"/>
  <c r="D12" i="9"/>
  <c r="K12" i="1" s="1"/>
  <c r="D11" i="9"/>
  <c r="K11" i="1" s="1"/>
  <c r="D5" i="9"/>
  <c r="K5" i="1" s="1"/>
  <c r="D13" i="9"/>
  <c r="K13" i="1" s="1"/>
  <c r="D6" i="9"/>
  <c r="K6" i="1" s="1"/>
  <c r="D7" i="9"/>
  <c r="K7" i="1" s="1"/>
  <c r="D10" i="8"/>
  <c r="J10" i="1" s="1"/>
  <c r="D4" i="9"/>
  <c r="K4" i="1" s="1"/>
  <c r="D5" i="8"/>
  <c r="J5" i="1" s="1"/>
  <c r="D13" i="8"/>
  <c r="J13" i="1" s="1"/>
  <c r="D6" i="8"/>
  <c r="J6" i="1" s="1"/>
  <c r="D9" i="8"/>
  <c r="J9" i="1" s="1"/>
  <c r="D11" i="8"/>
  <c r="J11" i="1" s="1"/>
  <c r="D4" i="8"/>
  <c r="J4" i="1" s="1"/>
  <c r="D12" i="8"/>
  <c r="J12" i="1" s="1"/>
  <c r="D7" i="8"/>
  <c r="J7" i="1" s="1"/>
  <c r="D8" i="8"/>
  <c r="J8" i="1" s="1"/>
  <c r="D5" i="7"/>
  <c r="I5" i="1" s="1"/>
  <c r="D9" i="7"/>
  <c r="I9" i="1" s="1"/>
  <c r="D13" i="7"/>
  <c r="I13" i="1" s="1"/>
  <c r="D11" i="7"/>
  <c r="I11" i="1" s="1"/>
  <c r="D12" i="7"/>
  <c r="I12" i="1" s="1"/>
  <c r="D6" i="7"/>
  <c r="I6" i="1" s="1"/>
  <c r="D4" i="7"/>
  <c r="I4" i="1" s="1"/>
  <c r="D7" i="7"/>
  <c r="I7" i="1" s="1"/>
  <c r="D8" i="7"/>
  <c r="I8" i="1" s="1"/>
  <c r="D10" i="7"/>
  <c r="I10" i="1" s="1"/>
  <c r="D5" i="6"/>
  <c r="H5" i="1" s="1"/>
  <c r="D12" i="6"/>
  <c r="H12" i="1" s="1"/>
  <c r="D10" i="6"/>
  <c r="H10" i="1" s="1"/>
  <c r="D13" i="6"/>
  <c r="H13" i="1" s="1"/>
  <c r="D6" i="6"/>
  <c r="H6" i="1" s="1"/>
  <c r="D7" i="6"/>
  <c r="H7" i="1" s="1"/>
  <c r="D8" i="6"/>
  <c r="H8" i="1" s="1"/>
  <c r="D11" i="6"/>
  <c r="H11" i="1" s="1"/>
  <c r="D9" i="6"/>
  <c r="H9" i="1" s="1"/>
  <c r="D4" i="6"/>
  <c r="H4" i="1" s="1"/>
  <c r="D9" i="5"/>
  <c r="G9" i="1" s="1"/>
  <c r="D10" i="5"/>
  <c r="G10" i="1" s="1"/>
  <c r="D12" i="5"/>
  <c r="G12" i="1" s="1"/>
  <c r="D11" i="5"/>
  <c r="G11" i="1" s="1"/>
  <c r="D5" i="5"/>
  <c r="G5" i="1" s="1"/>
  <c r="D13" i="5"/>
  <c r="G13" i="1" s="1"/>
  <c r="D6" i="5"/>
  <c r="G6" i="1" s="1"/>
  <c r="D7" i="5"/>
  <c r="G7" i="1" s="1"/>
  <c r="D8" i="5"/>
  <c r="G8" i="1" s="1"/>
  <c r="D4" i="5"/>
  <c r="G4" i="1" s="1"/>
  <c r="D5" i="2"/>
  <c r="D13" i="2"/>
  <c r="D10" i="4"/>
  <c r="F10" i="1" s="1"/>
  <c r="D9" i="4"/>
  <c r="F9" i="1" s="1"/>
  <c r="D8" i="4"/>
  <c r="F8" i="1" s="1"/>
  <c r="D12" i="2"/>
  <c r="D13" i="4"/>
  <c r="F13" i="1" s="1"/>
  <c r="D5" i="4"/>
  <c r="F5" i="1" s="1"/>
  <c r="D11" i="4"/>
  <c r="F11" i="1" s="1"/>
  <c r="D6" i="4"/>
  <c r="F6" i="1" s="1"/>
  <c r="D12" i="4"/>
  <c r="F12" i="1" s="1"/>
  <c r="D7" i="4"/>
  <c r="F7" i="1" s="1"/>
  <c r="D4" i="4"/>
  <c r="F4" i="1" s="1"/>
  <c r="D11" i="2"/>
  <c r="D10" i="2"/>
  <c r="D9" i="2"/>
  <c r="D8" i="2"/>
  <c r="D7" i="2"/>
  <c r="D6" i="2"/>
  <c r="D4" i="2"/>
  <c r="E9" i="1" l="1"/>
  <c r="D9" i="1" s="1"/>
  <c r="E12" i="1"/>
  <c r="D12" i="1" s="1"/>
  <c r="E10" i="1"/>
  <c r="D10" i="1" s="1"/>
  <c r="E11" i="1"/>
  <c r="D11" i="1" s="1"/>
  <c r="E6" i="1"/>
  <c r="D6" i="1" s="1"/>
  <c r="E7" i="1"/>
  <c r="D7" i="1" s="1"/>
  <c r="E13" i="1"/>
  <c r="D13" i="1" s="1"/>
  <c r="E8" i="1"/>
  <c r="D8" i="1" s="1"/>
  <c r="E5" i="1"/>
  <c r="D5" i="1" s="1"/>
  <c r="E4" i="1"/>
  <c r="D4" i="1" s="1"/>
</calcChain>
</file>

<file path=xl/sharedStrings.xml><?xml version="1.0" encoding="utf-8"?>
<sst xmlns="http://schemas.openxmlformats.org/spreadsheetml/2006/main" count="295" uniqueCount="171">
  <si>
    <t>SERIE</t>
  </si>
  <si>
    <t>FECHA</t>
  </si>
  <si>
    <t>HI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</si>
  <si>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</si>
  <si>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</si>
  <si>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</si>
  <si>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</si>
  <si>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</si>
  <si>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</si>
  <si>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</si>
  <si>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</si>
  <si>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</si>
  <si>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</si>
  <si>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HIDGA</t>
  </si>
  <si>
    <t>P_C2H2</t>
  </si>
  <si>
    <t>P_H2</t>
  </si>
  <si>
    <t>P_CH4</t>
  </si>
  <si>
    <t>P_C2H4</t>
  </si>
  <si>
    <t>P_C2H6</t>
  </si>
  <si>
    <t>P_CO</t>
  </si>
  <si>
    <t>P_CO2</t>
  </si>
  <si>
    <t>HIACE</t>
  </si>
  <si>
    <t>P_FP25</t>
  </si>
  <si>
    <t>P_FP100</t>
  </si>
  <si>
    <t>P_HU</t>
  </si>
  <si>
    <t>P_AC</t>
  </si>
  <si>
    <t>P_TIF</t>
  </si>
  <si>
    <t>P_RD</t>
  </si>
  <si>
    <t>P_IO</t>
  </si>
  <si>
    <t>P_VUT</t>
  </si>
  <si>
    <t>P_ECC</t>
  </si>
  <si>
    <t>P_FUR</t>
  </si>
  <si>
    <t>P_FDP</t>
  </si>
  <si>
    <t>P_CD</t>
  </si>
  <si>
    <t>HIARR</t>
  </si>
  <si>
    <t>P_ROHM</t>
  </si>
  <si>
    <t>P_RTRA</t>
  </si>
  <si>
    <t>P_ZCC</t>
  </si>
  <si>
    <t>HIAIS</t>
  </si>
  <si>
    <t>HINUC</t>
  </si>
  <si>
    <t>P_VEX</t>
  </si>
  <si>
    <t>P_IEX</t>
  </si>
  <si>
    <t>P_RNUC</t>
  </si>
  <si>
    <t>HIOLTC</t>
  </si>
  <si>
    <t>P_H2O</t>
  </si>
  <si>
    <t>HIBUS</t>
  </si>
  <si>
    <t>P_FPC1</t>
  </si>
  <si>
    <t>P_FPC2</t>
  </si>
  <si>
    <t>P_C1</t>
  </si>
  <si>
    <t>P_C2</t>
  </si>
  <si>
    <t>P_CC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</si>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</sst>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" fontId="0" fillId="0" borderId="0" xfId="0" applyNumberFormat="1"/>
    <xf numFmtId="1" fontId="0" fillId="0" borderId="0" xfId="0" applyNumberFormat="1"/>
    <xf numFmtId="164" fontId="0" fillId="0" borderId="0" xfId="0" applyNumberFormat="1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5E4E3-65F2-4B22-90D1-C28D360ED342}">
  <dimension ref="A1"/>
  <sheetViews>
    <sheetView workbookViewId="0">
      <selection activeCell="B2" sqref="B2:P32"/>
    </sheetView>
  </sheetViews>
  <sheetFormatPr baseColWidth="10"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BDE1C-E8A1-4093-9598-AF59AE566FAD}">
  <dimension ref="B2:K43"/>
  <sheetViews>
    <sheetView zoomScale="130" zoomScaleNormal="130" workbookViewId="0">
      <selection activeCell="D10" sqref="D10"/>
    </sheetView>
  </sheetViews>
  <sheetFormatPr baseColWidth="10" defaultRowHeight="15" x14ac:dyDescent="0.25"/>
  <cols>
    <col min="1" max="1" width="3.7109375" customWidth="1"/>
    <col min="2" max="4" width="13.7109375" customWidth="1"/>
    <col min="5" max="11" width="11.42578125" customWidth="1"/>
  </cols>
  <sheetData>
    <row r="2" spans="2:11" x14ac:dyDescent="0.25">
      <c r="E2">
        <v>5</v>
      </c>
      <c r="F2">
        <v>2</v>
      </c>
      <c r="G2">
        <v>5</v>
      </c>
      <c r="H2">
        <v>4</v>
      </c>
      <c r="I2">
        <v>2</v>
      </c>
      <c r="J2">
        <v>1</v>
      </c>
      <c r="K2">
        <v>1</v>
      </c>
    </row>
    <row r="3" spans="2:11" x14ac:dyDescent="0.25">
      <c r="B3" s="2" t="s">
        <v>0</v>
      </c>
      <c r="C3" s="2" t="s">
        <v>1</v>
      </c>
      <c r="D3" s="2" t="s">
        <v>2</v>
      </c>
      <c r="E3" t="str">
        <f>+HIDGA!D3</f>
        <v>HIDGA</v>
      </c>
      <c r="F3" t="str">
        <f>+HIACE!D3</f>
        <v>HIACE</v>
      </c>
      <c r="G3" t="str">
        <f>+HIAIS!D3</f>
        <v>HIAIS</v>
      </c>
      <c r="H3" t="str">
        <f>+HIARR!D3</f>
        <v>HIARR</v>
      </c>
      <c r="I3" t="str">
        <f>+HINUC!D3</f>
        <v>HINUC</v>
      </c>
      <c r="J3" t="str">
        <f>+HIOLTC!D3</f>
        <v>HIOLTC</v>
      </c>
      <c r="K3" t="str">
        <f>+HIBUS!D3</f>
        <v>HIBUS</v>
      </c>
    </row>
    <row r="4" spans="2:11" x14ac:dyDescent="0.25">
      <c r="B4" s="2" t="s">
        <v>3</v>
      </c>
      <c r="C4" s="3">
        <f ca="1">+TODAY()</f>
        <v>45917</v>
      </c>
      <c r="D4" s="4">
        <f ca="1">+(E4*$E$2+F4*$F$2+G4*$G$2+H4*$H$2+I4*$I$2+J4*$J$2+K4*$K$2)/SUM($E$2:$K$2)</f>
        <v>12.694423591114768</v>
      </c>
      <c r="E4" s="4">
        <f ca="1">+VLOOKUP($B4,HIDGA!$B$4:$D$13,3,FALSE)</f>
        <v>4.25</v>
      </c>
      <c r="F4" s="4">
        <f ca="1">+VLOOKUP($B4,HIACE!$B$4:$D$13,3,FALSE)</f>
        <v>13.227272727272727</v>
      </c>
      <c r="G4" s="4">
        <f ca="1">+VLOOKUP($B4,HIAIS!$B$4:$D$13,3,FALSE)</f>
        <v>5.615384615384615</v>
      </c>
      <c r="H4" s="4">
        <f ca="1">+VLOOKUP($B4,HIARR!$B$4:$D$13,3,FALSE)</f>
        <v>30.76923076923077</v>
      </c>
      <c r="I4" s="4">
        <f ca="1">+VLOOKUP($B4,HINUC!$B$4:$D$13,3,FALSE)</f>
        <v>1.6363636363636365</v>
      </c>
      <c r="J4" s="4">
        <f ca="1">+VLOOKUP($B4,HIOLTC!$B$4:$D$13,3,FALSE)</f>
        <v>46.875</v>
      </c>
      <c r="K4" s="4">
        <f ca="1">+VLOOKUP($B4,HIBUS!$B$4:$D$13,3,FALSE)</f>
        <v>4.882352941176471</v>
      </c>
    </row>
    <row r="5" spans="2:11" x14ac:dyDescent="0.25">
      <c r="B5" s="2" t="s">
        <v>4</v>
      </c>
      <c r="C5" s="3">
        <f t="shared" ref="C5:C13" ca="1" si="0">+TODAY()</f>
        <v>45917</v>
      </c>
      <c r="D5" s="4">
        <f t="shared" ref="D5:D13" ca="1" si="1">+(E5*$E$2+F5*$F$2+G5*$G$2+H5*$H$2+I5*$I$2+J5*$J$2+K5*$K$2)/SUM($E$2:$K$2)</f>
        <v>5.5002288153023446</v>
      </c>
      <c r="E5" s="4">
        <f ca="1">+VLOOKUP($B5,HIDGA!$B$4:$D$13,3,FALSE)</f>
        <v>4.7</v>
      </c>
      <c r="F5" s="4">
        <f ca="1">+VLOOKUP($B5,HIACE!$B$4:$D$13,3,FALSE)</f>
        <v>8.2272727272727266</v>
      </c>
      <c r="G5" s="4">
        <f ca="1">+VLOOKUP($B5,HIAIS!$B$4:$D$13,3,FALSE)</f>
        <v>7.5384615384615383</v>
      </c>
      <c r="H5" s="4">
        <f ca="1">+VLOOKUP($B5,HIARR!$B$4:$D$13,3,FALSE)</f>
        <v>1.5384615384615385</v>
      </c>
      <c r="I5" s="4">
        <f ca="1">+VLOOKUP($B5,HINUC!$B$4:$D$13,3,FALSE)</f>
        <v>7.0909090909090908</v>
      </c>
      <c r="J5" s="4">
        <f ca="1">+VLOOKUP($B5,HIOLTC!$B$4:$D$13,3,FALSE)</f>
        <v>9.375</v>
      </c>
      <c r="K5" s="4">
        <f ca="1">+VLOOKUP($B5,HIBUS!$B$4:$D$13,3,FALSE)</f>
        <v>2.6470588235294117</v>
      </c>
    </row>
    <row r="6" spans="2:11" x14ac:dyDescent="0.25">
      <c r="B6" s="2" t="s">
        <v>5</v>
      </c>
      <c r="C6" s="3">
        <f t="shared" ca="1" si="0"/>
        <v>45917</v>
      </c>
      <c r="D6" s="4">
        <f t="shared" ca="1" si="1"/>
        <v>3.9047742698477999</v>
      </c>
      <c r="E6" s="4">
        <f ca="1">+VLOOKUP($B6,HIDGA!$B$4:$D$13,3,FALSE)</f>
        <v>2.8</v>
      </c>
      <c r="F6" s="4">
        <f ca="1">+VLOOKUP($B6,HIACE!$B$4:$D$13,3,FALSE)</f>
        <v>5.0454545454545459</v>
      </c>
      <c r="G6" s="4">
        <f ca="1">+VLOOKUP($B6,HIAIS!$B$4:$D$13,3,FALSE)</f>
        <v>1.8461538461538463</v>
      </c>
      <c r="H6" s="4">
        <f ca="1">+VLOOKUP($B6,HIARR!$B$4:$D$13,3,FALSE)</f>
        <v>6.1538461538461542</v>
      </c>
      <c r="I6" s="4">
        <f ca="1">+VLOOKUP($B6,HINUC!$B$4:$D$13,3,FALSE)</f>
        <v>6.8181818181818183</v>
      </c>
      <c r="J6" s="4">
        <f ca="1">+VLOOKUP($B6,HIOLTC!$B$4:$D$13,3,FALSE)</f>
        <v>1.875</v>
      </c>
      <c r="K6" s="4">
        <f ca="1">+VLOOKUP($B6,HIBUS!$B$4:$D$13,3,FALSE)</f>
        <v>4.6470588235294121</v>
      </c>
    </row>
    <row r="7" spans="2:11" x14ac:dyDescent="0.25">
      <c r="B7" s="2" t="s">
        <v>6</v>
      </c>
      <c r="C7" s="3">
        <f ca="1">+TODAY()</f>
        <v>45917</v>
      </c>
      <c r="D7" s="4">
        <f t="shared" ca="1" si="1"/>
        <v>5.0459558823529411</v>
      </c>
      <c r="E7" s="4">
        <f ca="1">+VLOOKUP($B7,HIDGA!$B$4:$D$13,3,FALSE)</f>
        <v>2.95</v>
      </c>
      <c r="F7" s="4">
        <f ca="1">+VLOOKUP($B7,HIACE!$B$4:$D$13,3,FALSE)</f>
        <v>2.9545454545454546</v>
      </c>
      <c r="G7" s="4">
        <f ca="1">+VLOOKUP($B7,HIAIS!$B$4:$D$13,3,FALSE)</f>
        <v>1.7692307692307692</v>
      </c>
      <c r="H7" s="4">
        <f ca="1">+VLOOKUP($B7,HIARR!$B$4:$D$13,3,FALSE)</f>
        <v>1.5384615384615385</v>
      </c>
      <c r="I7" s="4">
        <f ca="1">+VLOOKUP($B7,HINUC!$B$4:$D$13,3,FALSE)</f>
        <v>27.545454545454547</v>
      </c>
      <c r="J7" s="4">
        <f ca="1">+VLOOKUP($B7,HIOLTC!$B$4:$D$13,3,FALSE)</f>
        <v>1.875</v>
      </c>
      <c r="K7" s="4">
        <f ca="1">+VLOOKUP($B7,HIBUS!$B$4:$D$13,3,FALSE)</f>
        <v>8.2941176470588243</v>
      </c>
    </row>
    <row r="8" spans="2:11" x14ac:dyDescent="0.25">
      <c r="B8" s="2" t="s">
        <v>7</v>
      </c>
      <c r="C8" s="3">
        <f t="shared" ca="1" si="0"/>
        <v>45917</v>
      </c>
      <c r="D8" s="4">
        <f t="shared" ca="1" si="1"/>
        <v>4.0475858700123402</v>
      </c>
      <c r="E8" s="4">
        <f ca="1">+VLOOKUP($B8,HIDGA!$B$4:$D$13,3,FALSE)</f>
        <v>5</v>
      </c>
      <c r="F8" s="4">
        <f ca="1">+VLOOKUP($B8,HIACE!$B$4:$D$13,3,FALSE)</f>
        <v>3.2272727272727271</v>
      </c>
      <c r="G8" s="4">
        <f ca="1">+VLOOKUP($B8,HIAIS!$B$4:$D$13,3,FALSE)</f>
        <v>4.9230769230769234</v>
      </c>
      <c r="H8" s="4">
        <f ca="1">+VLOOKUP($B8,HIARR!$B$4:$D$13,3,FALSE)</f>
        <v>1.5384615384615385</v>
      </c>
      <c r="I8" s="4">
        <f ca="1">+VLOOKUP($B8,HINUC!$B$4:$D$13,3,FALSE)</f>
        <v>3</v>
      </c>
      <c r="J8" s="4">
        <f ca="1">+VLOOKUP($B8,HIOLTC!$B$4:$D$13,3,FALSE)</f>
        <v>9.375</v>
      </c>
      <c r="K8" s="4">
        <f ca="1">+VLOOKUP($B8,HIBUS!$B$4:$D$13,3,FALSE)</f>
        <v>3.3529411764705883</v>
      </c>
    </row>
    <row r="9" spans="2:11" x14ac:dyDescent="0.25">
      <c r="B9" s="2" t="s">
        <v>8</v>
      </c>
      <c r="C9" s="3">
        <f t="shared" ca="1" si="0"/>
        <v>45917</v>
      </c>
      <c r="D9" s="4">
        <f t="shared" ca="1" si="1"/>
        <v>9.3912201768819408</v>
      </c>
      <c r="E9" s="4">
        <f ca="1">+VLOOKUP($B9,HIDGA!$B$4:$D$13,3,FALSE)</f>
        <v>3.5</v>
      </c>
      <c r="F9" s="4">
        <f ca="1">+VLOOKUP($B9,HIACE!$B$4:$D$13,3,FALSE)</f>
        <v>7.9545454545454541</v>
      </c>
      <c r="G9" s="4">
        <f ca="1">+VLOOKUP($B9,HIAIS!$B$4:$D$13,3,FALSE)</f>
        <v>3.0769230769230771</v>
      </c>
      <c r="H9" s="4">
        <f ca="1">+VLOOKUP($B9,HIARR!$B$4:$D$13,3,FALSE)</f>
        <v>29.23076923076923</v>
      </c>
      <c r="I9" s="4">
        <f ca="1">+VLOOKUP($B9,HINUC!$B$4:$D$13,3,FALSE)</f>
        <v>5.4545454545454541</v>
      </c>
      <c r="J9" s="4">
        <f ca="1">+VLOOKUP($B9,HIOLTC!$B$4:$D$13,3,FALSE)</f>
        <v>9.375</v>
      </c>
      <c r="K9" s="4">
        <f ca="1">+VLOOKUP($B9,HIBUS!$B$4:$D$13,3,FALSE)</f>
        <v>1.8235294117647058</v>
      </c>
    </row>
    <row r="10" spans="2:11" x14ac:dyDescent="0.25">
      <c r="B10" s="2" t="s">
        <v>9</v>
      </c>
      <c r="C10" s="3">
        <f t="shared" ca="1" si="0"/>
        <v>45917</v>
      </c>
      <c r="D10" s="4">
        <f t="shared" ca="1" si="1"/>
        <v>8.1283551007815724</v>
      </c>
      <c r="E10" s="4">
        <f ca="1">+VLOOKUP($B10,HIDGA!$B$4:$D$13,3,FALSE)</f>
        <v>3.9</v>
      </c>
      <c r="F10" s="4">
        <f ca="1">+VLOOKUP($B10,HIACE!$B$4:$D$13,3,FALSE)</f>
        <v>11.227272727272727</v>
      </c>
      <c r="G10" s="4">
        <f ca="1">+VLOOKUP($B10,HIAIS!$B$4:$D$13,3,FALSE)</f>
        <v>10.923076923076923</v>
      </c>
      <c r="H10" s="4">
        <f ca="1">+VLOOKUP($B10,HIARR!$B$4:$D$13,3,FALSE)</f>
        <v>7.6923076923076925</v>
      </c>
      <c r="I10" s="4">
        <f ca="1">+VLOOKUP($B10,HINUC!$B$4:$D$13,3,FALSE)</f>
        <v>15</v>
      </c>
      <c r="J10" s="4">
        <f ca="1">+VLOOKUP($B10,HIOLTC!$B$4:$D$13,3,FALSE)</f>
        <v>1.875</v>
      </c>
      <c r="K10" s="4">
        <f ca="1">+VLOOKUP($B10,HIBUS!$B$4:$D$13,3,FALSE)</f>
        <v>3.3529411764705883</v>
      </c>
    </row>
    <row r="11" spans="2:11" x14ac:dyDescent="0.25">
      <c r="B11" s="2" t="s">
        <v>10</v>
      </c>
      <c r="C11" s="3">
        <f t="shared" ca="1" si="0"/>
        <v>45917</v>
      </c>
      <c r="D11" s="4">
        <f t="shared" ca="1" si="1"/>
        <v>6.1935134718222953</v>
      </c>
      <c r="E11" s="4">
        <f ca="1">+VLOOKUP($B11,HIDGA!$B$4:$D$13,3,FALSE)</f>
        <v>9.5</v>
      </c>
      <c r="F11" s="4">
        <f ca="1">+VLOOKUP($B11,HIACE!$B$4:$D$13,3,FALSE)</f>
        <v>4.3181818181818183</v>
      </c>
      <c r="G11" s="4">
        <f ca="1">+VLOOKUP($B11,HIAIS!$B$4:$D$13,3,FALSE)</f>
        <v>2.4615384615384617</v>
      </c>
      <c r="H11" s="4">
        <f ca="1">+VLOOKUP($B11,HIARR!$B$4:$D$13,3,FALSE)</f>
        <v>6.1538461538461542</v>
      </c>
      <c r="I11" s="4">
        <f ca="1">+VLOOKUP($B11,HINUC!$B$4:$D$13,3,FALSE)</f>
        <v>13.909090909090908</v>
      </c>
      <c r="J11" s="4">
        <f ca="1">+VLOOKUP($B11,HIOLTC!$B$4:$D$13,3,FALSE)</f>
        <v>1.875</v>
      </c>
      <c r="K11" s="4">
        <f ca="1">+VLOOKUP($B11,HIBUS!$B$4:$D$13,3,FALSE)</f>
        <v>1.1176470588235294</v>
      </c>
    </row>
    <row r="12" spans="2:11" x14ac:dyDescent="0.25">
      <c r="B12" s="2" t="s">
        <v>11</v>
      </c>
      <c r="C12" s="3">
        <f t="shared" ca="1" si="0"/>
        <v>45917</v>
      </c>
      <c r="D12" s="4">
        <f t="shared" ca="1" si="1"/>
        <v>9.9988816330728092</v>
      </c>
      <c r="E12" s="4">
        <f ca="1">+VLOOKUP($B12,HIDGA!$B$4:$D$13,3,FALSE)</f>
        <v>6</v>
      </c>
      <c r="F12" s="4">
        <f ca="1">+VLOOKUP($B12,HIACE!$B$4:$D$13,3,FALSE)</f>
        <v>2.7727272727272729</v>
      </c>
      <c r="G12" s="4">
        <f ca="1">+VLOOKUP($B12,HIAIS!$B$4:$D$13,3,FALSE)</f>
        <v>2.6923076923076925</v>
      </c>
      <c r="H12" s="4">
        <f ca="1">+VLOOKUP($B12,HIARR!$B$4:$D$13,3,FALSE)</f>
        <v>30.76923076923077</v>
      </c>
      <c r="I12" s="4">
        <f ca="1">+VLOOKUP($B12,HINUC!$B$4:$D$13,3,FALSE)</f>
        <v>6.8181818181818183</v>
      </c>
      <c r="J12" s="4">
        <f ca="1">+VLOOKUP($B12,HIOLTC!$B$4:$D$13,3,FALSE)</f>
        <v>9.375</v>
      </c>
      <c r="K12" s="4">
        <f ca="1">+VLOOKUP($B12,HIBUS!$B$4:$D$13,3,FALSE)</f>
        <v>4.882352941176471</v>
      </c>
    </row>
    <row r="13" spans="2:11" x14ac:dyDescent="0.25">
      <c r="B13" s="2" t="s">
        <v>12</v>
      </c>
      <c r="C13" s="3">
        <f t="shared" ca="1" si="0"/>
        <v>45917</v>
      </c>
      <c r="D13" s="4">
        <f t="shared" ca="1" si="1"/>
        <v>3.7576331756478814</v>
      </c>
      <c r="E13" s="4">
        <f ca="1">+VLOOKUP($B13,HIDGA!$B$4:$D$13,3,FALSE)</f>
        <v>6.2</v>
      </c>
      <c r="F13" s="4">
        <f ca="1">+VLOOKUP($B13,HIACE!$B$4:$D$13,3,FALSE)</f>
        <v>2.8636363636363638</v>
      </c>
      <c r="G13" s="4">
        <f ca="1">+VLOOKUP($B13,HIAIS!$B$4:$D$13,3,FALSE)</f>
        <v>2.2307692307692308</v>
      </c>
      <c r="H13" s="4">
        <f ca="1">+VLOOKUP($B13,HIARR!$B$4:$D$13,3,FALSE)</f>
        <v>2.3076923076923075</v>
      </c>
      <c r="I13" s="4">
        <f ca="1">+VLOOKUP($B13,HINUC!$B$4:$D$13,3,FALSE)</f>
        <v>6.8181818181818183</v>
      </c>
      <c r="J13" s="4">
        <f ca="1">+VLOOKUP($B13,HIOLTC!$B$4:$D$13,3,FALSE)</f>
        <v>1.875</v>
      </c>
      <c r="K13" s="4">
        <f ca="1">+VLOOKUP($B13,HIBUS!$B$4:$D$13,3,FALSE)</f>
        <v>2.5294117647058822</v>
      </c>
    </row>
    <row r="14" spans="2:11" x14ac:dyDescent="0.25">
      <c r="B14" s="2" t="s">
        <v>3</v>
      </c>
      <c r="C14" s="3">
        <f ca="1">+TODAY()-1</f>
        <v>45916</v>
      </c>
      <c r="D14" s="4">
        <f t="shared" ref="D14:D23" ca="1" si="2">+RANDBETWEEN(1,10)</f>
        <v>1</v>
      </c>
    </row>
    <row r="15" spans="2:11" x14ac:dyDescent="0.25">
      <c r="B15" s="2" t="s">
        <v>4</v>
      </c>
      <c r="C15" s="3">
        <f t="shared" ref="C15:C23" ca="1" si="3">+TODAY()-1</f>
        <v>45916</v>
      </c>
      <c r="D15" s="4">
        <f t="shared" ca="1" si="2"/>
        <v>2</v>
      </c>
    </row>
    <row r="16" spans="2:11" x14ac:dyDescent="0.25">
      <c r="B16" s="2" t="s">
        <v>5</v>
      </c>
      <c r="C16" s="3">
        <f t="shared" ca="1" si="3"/>
        <v>45916</v>
      </c>
      <c r="D16" s="4">
        <f t="shared" ca="1" si="2"/>
        <v>7</v>
      </c>
    </row>
    <row r="17" spans="2:4" x14ac:dyDescent="0.25">
      <c r="B17" s="2" t="s">
        <v>6</v>
      </c>
      <c r="C17" s="3">
        <f t="shared" ca="1" si="3"/>
        <v>45916</v>
      </c>
      <c r="D17" s="4">
        <f t="shared" ca="1" si="2"/>
        <v>1</v>
      </c>
    </row>
    <row r="18" spans="2:4" x14ac:dyDescent="0.25">
      <c r="B18" s="2" t="s">
        <v>7</v>
      </c>
      <c r="C18" s="3">
        <f t="shared" ca="1" si="3"/>
        <v>45916</v>
      </c>
      <c r="D18" s="4">
        <f t="shared" ca="1" si="2"/>
        <v>2</v>
      </c>
    </row>
    <row r="19" spans="2:4" x14ac:dyDescent="0.25">
      <c r="B19" s="2" t="s">
        <v>8</v>
      </c>
      <c r="C19" s="3">
        <f t="shared" ca="1" si="3"/>
        <v>45916</v>
      </c>
      <c r="D19" s="4">
        <f t="shared" ca="1" si="2"/>
        <v>7</v>
      </c>
    </row>
    <row r="20" spans="2:4" x14ac:dyDescent="0.25">
      <c r="B20" s="2" t="s">
        <v>9</v>
      </c>
      <c r="C20" s="3">
        <f t="shared" ca="1" si="3"/>
        <v>45916</v>
      </c>
      <c r="D20" s="4">
        <f t="shared" ca="1" si="2"/>
        <v>5</v>
      </c>
    </row>
    <row r="21" spans="2:4" x14ac:dyDescent="0.25">
      <c r="B21" s="2" t="s">
        <v>10</v>
      </c>
      <c r="C21" s="3">
        <f t="shared" ca="1" si="3"/>
        <v>45916</v>
      </c>
      <c r="D21" s="4">
        <f t="shared" ca="1" si="2"/>
        <v>2</v>
      </c>
    </row>
    <row r="22" spans="2:4" x14ac:dyDescent="0.25">
      <c r="B22" s="2" t="s">
        <v>11</v>
      </c>
      <c r="C22" s="3">
        <f t="shared" ca="1" si="3"/>
        <v>45916</v>
      </c>
      <c r="D22" s="4">
        <f t="shared" ca="1" si="2"/>
        <v>3</v>
      </c>
    </row>
    <row r="23" spans="2:4" x14ac:dyDescent="0.25">
      <c r="B23" s="2" t="s">
        <v>12</v>
      </c>
      <c r="C23" s="3">
        <f t="shared" ca="1" si="3"/>
        <v>45916</v>
      </c>
      <c r="D23" s="4">
        <f t="shared" ca="1" si="2"/>
        <v>2</v>
      </c>
    </row>
    <row r="24" spans="2:4" x14ac:dyDescent="0.25">
      <c r="B24" s="2" t="s">
        <v>3</v>
      </c>
      <c r="C24" s="3">
        <f ca="1">+TODAY()-2</f>
        <v>45915</v>
      </c>
    </row>
    <row r="25" spans="2:4" x14ac:dyDescent="0.25">
      <c r="B25" s="2" t="s">
        <v>4</v>
      </c>
      <c r="C25" s="3">
        <f t="shared" ref="C25:C34" ca="1" si="4">+TODAY()-2</f>
        <v>45915</v>
      </c>
    </row>
    <row r="26" spans="2:4" x14ac:dyDescent="0.25">
      <c r="B26" s="2" t="s">
        <v>5</v>
      </c>
      <c r="C26" s="3">
        <f t="shared" ca="1" si="4"/>
        <v>45915</v>
      </c>
    </row>
    <row r="27" spans="2:4" x14ac:dyDescent="0.25">
      <c r="B27" s="2" t="s">
        <v>6</v>
      </c>
      <c r="C27" s="3">
        <f t="shared" ca="1" si="4"/>
        <v>45915</v>
      </c>
    </row>
    <row r="28" spans="2:4" x14ac:dyDescent="0.25">
      <c r="B28" s="2" t="s">
        <v>7</v>
      </c>
      <c r="C28" s="3">
        <f t="shared" ca="1" si="4"/>
        <v>45915</v>
      </c>
    </row>
    <row r="29" spans="2:4" x14ac:dyDescent="0.25">
      <c r="B29" s="2" t="s">
        <v>8</v>
      </c>
      <c r="C29" s="3">
        <f t="shared" ca="1" si="4"/>
        <v>45915</v>
      </c>
    </row>
    <row r="30" spans="2:4" x14ac:dyDescent="0.25">
      <c r="B30" s="2" t="s">
        <v>9</v>
      </c>
      <c r="C30" s="3">
        <f t="shared" ca="1" si="4"/>
        <v>45915</v>
      </c>
    </row>
    <row r="31" spans="2:4" x14ac:dyDescent="0.25">
      <c r="B31" s="2" t="s">
        <v>10</v>
      </c>
      <c r="C31" s="3">
        <f t="shared" ca="1" si="4"/>
        <v>45915</v>
      </c>
    </row>
    <row r="32" spans="2:4" x14ac:dyDescent="0.25">
      <c r="B32" s="2" t="s">
        <v>11</v>
      </c>
      <c r="C32" s="3">
        <f t="shared" ca="1" si="4"/>
        <v>45915</v>
      </c>
    </row>
    <row r="33" spans="2:3" x14ac:dyDescent="0.25">
      <c r="B33" s="2" t="s">
        <v>12</v>
      </c>
      <c r="C33" s="3">
        <f t="shared" ca="1" si="4"/>
        <v>45915</v>
      </c>
    </row>
    <row r="34" spans="2:3" x14ac:dyDescent="0.25">
      <c r="B34" s="2" t="s">
        <v>3</v>
      </c>
      <c r="C34" s="3">
        <f t="shared" ca="1" si="4"/>
        <v>45915</v>
      </c>
    </row>
    <row r="35" spans="2:3" x14ac:dyDescent="0.25">
      <c r="B35" s="2" t="s">
        <v>4</v>
      </c>
      <c r="C35" s="3">
        <f ca="1">+TODAY()-3</f>
        <v>45914</v>
      </c>
    </row>
    <row r="36" spans="2:3" x14ac:dyDescent="0.25">
      <c r="B36" s="2" t="s">
        <v>5</v>
      </c>
      <c r="C36" s="3">
        <f t="shared" ref="C36:C43" ca="1" si="5">+TODAY()-3</f>
        <v>45914</v>
      </c>
    </row>
    <row r="37" spans="2:3" x14ac:dyDescent="0.25">
      <c r="B37" s="2" t="s">
        <v>6</v>
      </c>
      <c r="C37" s="3">
        <f t="shared" ca="1" si="5"/>
        <v>45914</v>
      </c>
    </row>
    <row r="38" spans="2:3" x14ac:dyDescent="0.25">
      <c r="B38" s="2" t="s">
        <v>7</v>
      </c>
      <c r="C38" s="3">
        <f t="shared" ca="1" si="5"/>
        <v>45914</v>
      </c>
    </row>
    <row r="39" spans="2:3" x14ac:dyDescent="0.25">
      <c r="B39" s="2" t="s">
        <v>8</v>
      </c>
      <c r="C39" s="3">
        <f t="shared" ca="1" si="5"/>
        <v>45914</v>
      </c>
    </row>
    <row r="40" spans="2:3" x14ac:dyDescent="0.25">
      <c r="B40" s="2" t="s">
        <v>9</v>
      </c>
      <c r="C40" s="3">
        <f t="shared" ca="1" si="5"/>
        <v>45914</v>
      </c>
    </row>
    <row r="41" spans="2:3" x14ac:dyDescent="0.25">
      <c r="B41" s="2" t="s">
        <v>10</v>
      </c>
      <c r="C41" s="3">
        <f t="shared" ca="1" si="5"/>
        <v>45914</v>
      </c>
    </row>
    <row r="42" spans="2:3" x14ac:dyDescent="0.25">
      <c r="B42" s="2" t="s">
        <v>11</v>
      </c>
      <c r="C42" s="3">
        <f t="shared" ca="1" si="5"/>
        <v>45914</v>
      </c>
    </row>
    <row r="43" spans="2:3" x14ac:dyDescent="0.25">
      <c r="B43" s="2" t="s">
        <v>12</v>
      </c>
      <c r="C43" s="3">
        <f t="shared" ca="1" si="5"/>
        <v>45914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714BE-8A35-4CFD-A49B-20A289EC3B32}">
  <dimension ref="B2:Y133"/>
  <sheetViews>
    <sheetView zoomScale="130" zoomScaleNormal="130" workbookViewId="0">
      <selection activeCell="D24" sqref="D24"/>
    </sheetView>
  </sheetViews>
  <sheetFormatPr baseColWidth="10" defaultRowHeight="15" x14ac:dyDescent="0.25"/>
  <cols>
    <col min="1" max="1" width="3.7109375" customWidth="1"/>
    <col min="2" max="11" width="13.7109375" customWidth="1"/>
  </cols>
  <sheetData>
    <row r="2" spans="2:25" x14ac:dyDescent="0.25">
      <c r="D2">
        <v>5</v>
      </c>
      <c r="E2">
        <v>5</v>
      </c>
      <c r="F2">
        <v>2</v>
      </c>
      <c r="G2">
        <v>3</v>
      </c>
      <c r="H2">
        <v>4</v>
      </c>
      <c r="I2">
        <v>3</v>
      </c>
      <c r="J2">
        <v>2</v>
      </c>
      <c r="K2">
        <v>1</v>
      </c>
    </row>
    <row r="3" spans="2:25" x14ac:dyDescent="0.25">
      <c r="B3" s="2" t="s">
        <v>0</v>
      </c>
      <c r="C3" s="2" t="s">
        <v>1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  <c r="J3" s="2" t="s">
        <v>19</v>
      </c>
      <c r="K3" s="2" t="s">
        <v>20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2:25" x14ac:dyDescent="0.25">
      <c r="B4" s="2" t="s">
        <v>3</v>
      </c>
      <c r="C4" s="1">
        <f ca="1">+RANDBETWEEN(40000,45000)</f>
        <v>44833</v>
      </c>
      <c r="D4" s="2">
        <f ca="1">+(E4*$E$2*F4*$F$2+G4*$G$2+H4*$H$2+I4*$I$2+J4*$J$2+K4*$K$2)/SUM($E$2:$K$2)</f>
        <v>4.25</v>
      </c>
      <c r="E4" s="5">
        <f ca="1">+RANDBETWEEN(1,5)</f>
        <v>5</v>
      </c>
      <c r="F4" s="5">
        <f t="shared" ref="F4:K13" ca="1" si="0">+RANDBETWEEN(1,5)</f>
        <v>1</v>
      </c>
      <c r="G4" s="5">
        <f t="shared" ca="1" si="0"/>
        <v>2</v>
      </c>
      <c r="H4" s="5">
        <f t="shared" ca="1" si="0"/>
        <v>5</v>
      </c>
      <c r="I4" s="5">
        <f t="shared" ca="1" si="0"/>
        <v>2</v>
      </c>
      <c r="J4" s="5">
        <f t="shared" ca="1" si="0"/>
        <v>1</v>
      </c>
      <c r="K4" s="5">
        <f t="shared" ca="1" si="0"/>
        <v>1</v>
      </c>
    </row>
    <row r="5" spans="2:25" x14ac:dyDescent="0.25">
      <c r="B5" s="2" t="s">
        <v>4</v>
      </c>
      <c r="C5" s="1">
        <f t="shared" ref="C5:C13" ca="1" si="1">+RANDBETWEEN(40000,45000)</f>
        <v>41329</v>
      </c>
      <c r="D5" s="2">
        <f t="shared" ref="D5:D13" ca="1" si="2">+(E5*$E$2*F5*$F$2+G5*$G$2+H5*$H$2+I5*$I$2+J5*$J$2+K5*$K$2)/SUM($E$2:$K$2)</f>
        <v>4.7</v>
      </c>
      <c r="E5" s="5">
        <f t="shared" ref="E5:E13" ca="1" si="3">+RANDBETWEEN(1,5)</f>
        <v>5</v>
      </c>
      <c r="F5" s="5">
        <f t="shared" ca="1" si="0"/>
        <v>1</v>
      </c>
      <c r="G5" s="5">
        <f t="shared" ca="1" si="0"/>
        <v>5</v>
      </c>
      <c r="H5" s="5">
        <f t="shared" ca="1" si="0"/>
        <v>3</v>
      </c>
      <c r="I5" s="5">
        <f t="shared" ca="1" si="0"/>
        <v>3</v>
      </c>
      <c r="J5" s="5">
        <f t="shared" ca="1" si="0"/>
        <v>2</v>
      </c>
      <c r="K5" s="5">
        <f t="shared" ca="1" si="0"/>
        <v>4</v>
      </c>
    </row>
    <row r="6" spans="2:25" x14ac:dyDescent="0.25">
      <c r="B6" s="2" t="s">
        <v>5</v>
      </c>
      <c r="C6" s="1">
        <f t="shared" ca="1" si="1"/>
        <v>41484</v>
      </c>
      <c r="D6" s="2">
        <f t="shared" ca="1" si="2"/>
        <v>2.8</v>
      </c>
      <c r="E6" s="5">
        <f t="shared" ca="1" si="3"/>
        <v>2</v>
      </c>
      <c r="F6" s="5">
        <f t="shared" ca="1" si="0"/>
        <v>1</v>
      </c>
      <c r="G6" s="5">
        <f t="shared" ca="1" si="0"/>
        <v>2</v>
      </c>
      <c r="H6" s="5">
        <f t="shared" ca="1" si="0"/>
        <v>2</v>
      </c>
      <c r="I6" s="5">
        <f t="shared" ca="1" si="0"/>
        <v>4</v>
      </c>
      <c r="J6" s="5">
        <f t="shared" ca="1" si="0"/>
        <v>4</v>
      </c>
      <c r="K6" s="5">
        <f t="shared" ca="1" si="0"/>
        <v>2</v>
      </c>
    </row>
    <row r="7" spans="2:25" x14ac:dyDescent="0.25">
      <c r="B7" s="2" t="s">
        <v>6</v>
      </c>
      <c r="C7" s="1">
        <f t="shared" ca="1" si="1"/>
        <v>43315</v>
      </c>
      <c r="D7" s="2">
        <f t="shared" ca="1" si="2"/>
        <v>2.95</v>
      </c>
      <c r="E7" s="5">
        <f t="shared" ca="1" si="3"/>
        <v>1</v>
      </c>
      <c r="F7" s="5">
        <f t="shared" ca="1" si="0"/>
        <v>1</v>
      </c>
      <c r="G7" s="5">
        <f t="shared" ca="1" si="0"/>
        <v>4</v>
      </c>
      <c r="H7" s="5">
        <f t="shared" ca="1" si="0"/>
        <v>5</v>
      </c>
      <c r="I7" s="5">
        <f t="shared" ca="1" si="0"/>
        <v>2</v>
      </c>
      <c r="J7" s="5">
        <f t="shared" ca="1" si="0"/>
        <v>4</v>
      </c>
      <c r="K7" s="5">
        <f t="shared" ca="1" si="0"/>
        <v>3</v>
      </c>
    </row>
    <row r="8" spans="2:25" x14ac:dyDescent="0.25">
      <c r="B8" s="2" t="s">
        <v>7</v>
      </c>
      <c r="C8" s="1">
        <f t="shared" ca="1" si="1"/>
        <v>41581</v>
      </c>
      <c r="D8" s="2">
        <f t="shared" ca="1" si="2"/>
        <v>5</v>
      </c>
      <c r="E8" s="5">
        <f t="shared" ca="1" si="3"/>
        <v>2</v>
      </c>
      <c r="F8" s="5">
        <f t="shared" ca="1" si="0"/>
        <v>3</v>
      </c>
      <c r="G8" s="5">
        <f t="shared" ca="1" si="0"/>
        <v>5</v>
      </c>
      <c r="H8" s="5">
        <f t="shared" ca="1" si="0"/>
        <v>4</v>
      </c>
      <c r="I8" s="5">
        <f t="shared" ca="1" si="0"/>
        <v>1</v>
      </c>
      <c r="J8" s="5">
        <f t="shared" ca="1" si="0"/>
        <v>1</v>
      </c>
      <c r="K8" s="5">
        <f t="shared" ca="1" si="0"/>
        <v>4</v>
      </c>
    </row>
    <row r="9" spans="2:25" x14ac:dyDescent="0.25">
      <c r="B9" s="2" t="s">
        <v>8</v>
      </c>
      <c r="C9" s="1">
        <f t="shared" ca="1" si="1"/>
        <v>42506</v>
      </c>
      <c r="D9" s="2">
        <f t="shared" ca="1" si="2"/>
        <v>3.5</v>
      </c>
      <c r="E9" s="5">
        <f t="shared" ca="1" si="3"/>
        <v>1</v>
      </c>
      <c r="F9" s="5">
        <f t="shared" ca="1" si="0"/>
        <v>1</v>
      </c>
      <c r="G9" s="5">
        <f t="shared" ca="1" si="0"/>
        <v>5</v>
      </c>
      <c r="H9" s="5">
        <f t="shared" ca="1" si="0"/>
        <v>5</v>
      </c>
      <c r="I9" s="5">
        <f t="shared" ca="1" si="0"/>
        <v>5</v>
      </c>
      <c r="J9" s="5">
        <f t="shared" ca="1" si="0"/>
        <v>3</v>
      </c>
      <c r="K9" s="5">
        <f t="shared" ca="1" si="0"/>
        <v>4</v>
      </c>
    </row>
    <row r="10" spans="2:25" x14ac:dyDescent="0.25">
      <c r="B10" s="2" t="s">
        <v>9</v>
      </c>
      <c r="C10" s="1">
        <f t="shared" ca="1" si="1"/>
        <v>42801</v>
      </c>
      <c r="D10" s="2">
        <f t="shared" ca="1" si="2"/>
        <v>3.9</v>
      </c>
      <c r="E10" s="5">
        <f t="shared" ca="1" si="3"/>
        <v>4</v>
      </c>
      <c r="F10" s="5">
        <f t="shared" ca="1" si="0"/>
        <v>1</v>
      </c>
      <c r="G10" s="5">
        <f t="shared" ca="1" si="0"/>
        <v>3</v>
      </c>
      <c r="H10" s="5">
        <f t="shared" ca="1" si="0"/>
        <v>2</v>
      </c>
      <c r="I10" s="5">
        <f t="shared" ca="1" si="0"/>
        <v>2</v>
      </c>
      <c r="J10" s="5">
        <f t="shared" ca="1" si="0"/>
        <v>5</v>
      </c>
      <c r="K10" s="5">
        <f t="shared" ca="1" si="0"/>
        <v>5</v>
      </c>
    </row>
    <row r="11" spans="2:25" x14ac:dyDescent="0.25">
      <c r="B11" s="2" t="s">
        <v>10</v>
      </c>
      <c r="C11" s="1">
        <f t="shared" ca="1" si="1"/>
        <v>44784</v>
      </c>
      <c r="D11" s="2">
        <f t="shared" ca="1" si="2"/>
        <v>9.5</v>
      </c>
      <c r="E11" s="5">
        <f t="shared" ca="1" si="3"/>
        <v>4</v>
      </c>
      <c r="F11" s="5">
        <f t="shared" ca="1" si="0"/>
        <v>4</v>
      </c>
      <c r="G11" s="5">
        <f t="shared" ca="1" si="0"/>
        <v>4</v>
      </c>
      <c r="H11" s="5">
        <f t="shared" ca="1" si="0"/>
        <v>2</v>
      </c>
      <c r="I11" s="5">
        <f t="shared" ca="1" si="0"/>
        <v>1</v>
      </c>
      <c r="J11" s="5">
        <f t="shared" ca="1" si="0"/>
        <v>2</v>
      </c>
      <c r="K11" s="5">
        <f t="shared" ca="1" si="0"/>
        <v>3</v>
      </c>
    </row>
    <row r="12" spans="2:25" x14ac:dyDescent="0.25">
      <c r="B12" s="2" t="s">
        <v>11</v>
      </c>
      <c r="C12" s="1">
        <f t="shared" ca="1" si="1"/>
        <v>42819</v>
      </c>
      <c r="D12" s="2">
        <f t="shared" ca="1" si="2"/>
        <v>6</v>
      </c>
      <c r="E12" s="5">
        <f t="shared" ca="1" si="3"/>
        <v>3</v>
      </c>
      <c r="F12" s="5">
        <f t="shared" ca="1" si="0"/>
        <v>2</v>
      </c>
      <c r="G12" s="5">
        <f t="shared" ca="1" si="0"/>
        <v>5</v>
      </c>
      <c r="H12" s="5">
        <f t="shared" ca="1" si="0"/>
        <v>5</v>
      </c>
      <c r="I12" s="5">
        <f t="shared" ca="1" si="0"/>
        <v>4</v>
      </c>
      <c r="J12" s="5">
        <f t="shared" ca="1" si="0"/>
        <v>4</v>
      </c>
      <c r="K12" s="5">
        <f t="shared" ca="1" si="0"/>
        <v>5</v>
      </c>
    </row>
    <row r="13" spans="2:25" x14ac:dyDescent="0.25">
      <c r="B13" s="2" t="s">
        <v>12</v>
      </c>
      <c r="C13" s="1">
        <f t="shared" ca="1" si="1"/>
        <v>40031</v>
      </c>
      <c r="D13" s="2">
        <f t="shared" ca="1" si="2"/>
        <v>6.2</v>
      </c>
      <c r="E13" s="5">
        <f t="shared" ca="1" si="3"/>
        <v>2</v>
      </c>
      <c r="F13" s="5">
        <f t="shared" ca="1" si="0"/>
        <v>4</v>
      </c>
      <c r="G13" s="5">
        <f t="shared" ca="1" si="0"/>
        <v>1</v>
      </c>
      <c r="H13" s="5">
        <f t="shared" ca="1" si="0"/>
        <v>5</v>
      </c>
      <c r="I13" s="5">
        <f t="shared" ca="1" si="0"/>
        <v>5</v>
      </c>
      <c r="J13" s="5">
        <f t="shared" ca="1" si="0"/>
        <v>1</v>
      </c>
      <c r="K13" s="5">
        <f t="shared" ca="1" si="0"/>
        <v>4</v>
      </c>
    </row>
    <row r="14" spans="2:25" x14ac:dyDescent="0.25">
      <c r="B14" s="2" t="s">
        <v>51</v>
      </c>
    </row>
    <row r="15" spans="2:25" x14ac:dyDescent="0.25">
      <c r="B15" s="2" t="s">
        <v>52</v>
      </c>
    </row>
    <row r="16" spans="2:25" x14ac:dyDescent="0.25">
      <c r="B16" s="2" t="s">
        <v>53</v>
      </c>
      <c r="C16" s="8" t="s">
        <v>3</v>
      </c>
      <c r="E16" s="7" t="s">
        <v>13</v>
      </c>
      <c r="F16" s="9" t="s">
        <v>21</v>
      </c>
      <c r="G16" s="7" t="s">
        <v>38</v>
      </c>
    </row>
    <row r="17" spans="2:7" x14ac:dyDescent="0.25">
      <c r="B17" s="2" t="s">
        <v>54</v>
      </c>
      <c r="E17" s="8" t="s">
        <v>34</v>
      </c>
      <c r="F17" s="9" t="s">
        <v>39</v>
      </c>
      <c r="G17" s="7" t="s">
        <v>43</v>
      </c>
    </row>
    <row r="18" spans="2:7" x14ac:dyDescent="0.25">
      <c r="B18" s="2" t="s">
        <v>55</v>
      </c>
      <c r="E18" s="8" t="s">
        <v>45</v>
      </c>
    </row>
    <row r="19" spans="2:7" x14ac:dyDescent="0.25">
      <c r="B19" s="2" t="s">
        <v>56</v>
      </c>
    </row>
    <row r="20" spans="2:7" x14ac:dyDescent="0.25">
      <c r="B20" s="2" t="s">
        <v>57</v>
      </c>
    </row>
    <row r="21" spans="2:7" x14ac:dyDescent="0.25">
      <c r="B21" s="2" t="s">
        <v>58</v>
      </c>
    </row>
    <row r="22" spans="2:7" x14ac:dyDescent="0.25">
      <c r="B22" s="2" t="s">
        <v>59</v>
      </c>
    </row>
    <row r="23" spans="2:7" x14ac:dyDescent="0.25">
      <c r="B23" s="2" t="s">
        <v>60</v>
      </c>
    </row>
    <row r="24" spans="2:7" x14ac:dyDescent="0.25">
      <c r="B24" s="2" t="s">
        <v>61</v>
      </c>
    </row>
    <row r="25" spans="2:7" x14ac:dyDescent="0.25">
      <c r="B25" s="2" t="s">
        <v>62</v>
      </c>
    </row>
    <row r="26" spans="2:7" x14ac:dyDescent="0.25">
      <c r="B26" s="2" t="s">
        <v>63</v>
      </c>
    </row>
    <row r="27" spans="2:7" x14ac:dyDescent="0.25">
      <c r="B27" s="2" t="s">
        <v>64</v>
      </c>
    </row>
    <row r="28" spans="2:7" x14ac:dyDescent="0.25">
      <c r="B28" s="2" t="s">
        <v>65</v>
      </c>
    </row>
    <row r="29" spans="2:7" x14ac:dyDescent="0.25">
      <c r="B29" s="2" t="s">
        <v>66</v>
      </c>
    </row>
    <row r="30" spans="2:7" x14ac:dyDescent="0.25">
      <c r="B30" s="2" t="s">
        <v>67</v>
      </c>
    </row>
    <row r="31" spans="2:7" x14ac:dyDescent="0.25">
      <c r="B31" s="2" t="s">
        <v>68</v>
      </c>
    </row>
    <row r="32" spans="2:7" x14ac:dyDescent="0.25">
      <c r="B32" s="2" t="s">
        <v>69</v>
      </c>
    </row>
    <row r="33" spans="2:2" x14ac:dyDescent="0.25">
      <c r="B33" s="2" t="s">
        <v>70</v>
      </c>
    </row>
    <row r="34" spans="2:2" x14ac:dyDescent="0.25">
      <c r="B34" s="2" t="s">
        <v>71</v>
      </c>
    </row>
    <row r="35" spans="2:2" x14ac:dyDescent="0.25">
      <c r="B35" s="2" t="s">
        <v>72</v>
      </c>
    </row>
    <row r="36" spans="2:2" x14ac:dyDescent="0.25">
      <c r="B36" s="2" t="s">
        <v>73</v>
      </c>
    </row>
    <row r="37" spans="2:2" x14ac:dyDescent="0.25">
      <c r="B37" s="2" t="s">
        <v>74</v>
      </c>
    </row>
    <row r="38" spans="2:2" x14ac:dyDescent="0.25">
      <c r="B38" s="2" t="s">
        <v>75</v>
      </c>
    </row>
    <row r="39" spans="2:2" x14ac:dyDescent="0.25">
      <c r="B39" s="2" t="s">
        <v>76</v>
      </c>
    </row>
    <row r="40" spans="2:2" x14ac:dyDescent="0.25">
      <c r="B40" s="2" t="s">
        <v>77</v>
      </c>
    </row>
    <row r="41" spans="2:2" x14ac:dyDescent="0.25">
      <c r="B41" s="2" t="s">
        <v>78</v>
      </c>
    </row>
    <row r="42" spans="2:2" x14ac:dyDescent="0.25">
      <c r="B42" s="2" t="s">
        <v>79</v>
      </c>
    </row>
    <row r="43" spans="2:2" x14ac:dyDescent="0.25">
      <c r="B43" s="2" t="s">
        <v>80</v>
      </c>
    </row>
    <row r="44" spans="2:2" x14ac:dyDescent="0.25">
      <c r="B44" s="2" t="s">
        <v>81</v>
      </c>
    </row>
    <row r="45" spans="2:2" x14ac:dyDescent="0.25">
      <c r="B45" s="2" t="s">
        <v>82</v>
      </c>
    </row>
    <row r="46" spans="2:2" x14ac:dyDescent="0.25">
      <c r="B46" s="2" t="s">
        <v>83</v>
      </c>
    </row>
    <row r="47" spans="2:2" x14ac:dyDescent="0.25">
      <c r="B47" s="2" t="s">
        <v>84</v>
      </c>
    </row>
    <row r="48" spans="2:2" x14ac:dyDescent="0.25">
      <c r="B48" s="2" t="s">
        <v>85</v>
      </c>
    </row>
    <row r="49" spans="2:2" x14ac:dyDescent="0.25">
      <c r="B49" s="2" t="s">
        <v>86</v>
      </c>
    </row>
    <row r="50" spans="2:2" x14ac:dyDescent="0.25">
      <c r="B50" s="2" t="s">
        <v>87</v>
      </c>
    </row>
    <row r="51" spans="2:2" x14ac:dyDescent="0.25">
      <c r="B51" s="2" t="s">
        <v>88</v>
      </c>
    </row>
    <row r="52" spans="2:2" x14ac:dyDescent="0.25">
      <c r="B52" s="2" t="s">
        <v>89</v>
      </c>
    </row>
    <row r="53" spans="2:2" x14ac:dyDescent="0.25">
      <c r="B53" s="2" t="s">
        <v>90</v>
      </c>
    </row>
    <row r="54" spans="2:2" x14ac:dyDescent="0.25">
      <c r="B54" s="2" t="s">
        <v>91</v>
      </c>
    </row>
    <row r="55" spans="2:2" x14ac:dyDescent="0.25">
      <c r="B55" s="2" t="s">
        <v>92</v>
      </c>
    </row>
    <row r="56" spans="2:2" x14ac:dyDescent="0.25">
      <c r="B56" s="2" t="s">
        <v>93</v>
      </c>
    </row>
    <row r="57" spans="2:2" x14ac:dyDescent="0.25">
      <c r="B57" s="2" t="s">
        <v>94</v>
      </c>
    </row>
    <row r="58" spans="2:2" x14ac:dyDescent="0.25">
      <c r="B58" s="2" t="s">
        <v>95</v>
      </c>
    </row>
    <row r="59" spans="2:2" x14ac:dyDescent="0.25">
      <c r="B59" s="2" t="s">
        <v>96</v>
      </c>
    </row>
    <row r="60" spans="2:2" x14ac:dyDescent="0.25">
      <c r="B60" s="2" t="s">
        <v>97</v>
      </c>
    </row>
    <row r="61" spans="2:2" x14ac:dyDescent="0.25">
      <c r="B61" s="2" t="s">
        <v>98</v>
      </c>
    </row>
    <row r="62" spans="2:2" x14ac:dyDescent="0.25">
      <c r="B62" s="2" t="s">
        <v>99</v>
      </c>
    </row>
    <row r="63" spans="2:2" x14ac:dyDescent="0.25">
      <c r="B63" s="2" t="s">
        <v>100</v>
      </c>
    </row>
    <row r="64" spans="2:2" x14ac:dyDescent="0.25">
      <c r="B64" s="2" t="s">
        <v>101</v>
      </c>
    </row>
    <row r="65" spans="2:2" x14ac:dyDescent="0.25">
      <c r="B65" s="2" t="s">
        <v>102</v>
      </c>
    </row>
    <row r="66" spans="2:2" x14ac:dyDescent="0.25">
      <c r="B66" s="2" t="s">
        <v>103</v>
      </c>
    </row>
    <row r="67" spans="2:2" x14ac:dyDescent="0.25">
      <c r="B67" s="2" t="s">
        <v>104</v>
      </c>
    </row>
    <row r="68" spans="2:2" x14ac:dyDescent="0.25">
      <c r="B68" s="2" t="s">
        <v>105</v>
      </c>
    </row>
    <row r="69" spans="2:2" x14ac:dyDescent="0.25">
      <c r="B69" s="2" t="s">
        <v>106</v>
      </c>
    </row>
    <row r="70" spans="2:2" x14ac:dyDescent="0.25">
      <c r="B70" s="2" t="s">
        <v>107</v>
      </c>
    </row>
    <row r="71" spans="2:2" x14ac:dyDescent="0.25">
      <c r="B71" s="2" t="s">
        <v>108</v>
      </c>
    </row>
    <row r="72" spans="2:2" x14ac:dyDescent="0.25">
      <c r="B72" s="2" t="s">
        <v>109</v>
      </c>
    </row>
    <row r="73" spans="2:2" x14ac:dyDescent="0.25">
      <c r="B73" s="2" t="s">
        <v>110</v>
      </c>
    </row>
    <row r="74" spans="2:2" x14ac:dyDescent="0.25">
      <c r="B74" s="2" t="s">
        <v>111</v>
      </c>
    </row>
    <row r="75" spans="2:2" x14ac:dyDescent="0.25">
      <c r="B75" s="2" t="s">
        <v>112</v>
      </c>
    </row>
    <row r="76" spans="2:2" x14ac:dyDescent="0.25">
      <c r="B76" s="2" t="s">
        <v>113</v>
      </c>
    </row>
    <row r="77" spans="2:2" x14ac:dyDescent="0.25">
      <c r="B77" s="2" t="s">
        <v>114</v>
      </c>
    </row>
    <row r="78" spans="2:2" x14ac:dyDescent="0.25">
      <c r="B78" s="2" t="s">
        <v>115</v>
      </c>
    </row>
    <row r="79" spans="2:2" x14ac:dyDescent="0.25">
      <c r="B79" s="2" t="s">
        <v>116</v>
      </c>
    </row>
    <row r="80" spans="2:2" x14ac:dyDescent="0.25">
      <c r="B80" s="2" t="s">
        <v>117</v>
      </c>
    </row>
    <row r="81" spans="2:2" x14ac:dyDescent="0.25">
      <c r="B81" s="2" t="s">
        <v>118</v>
      </c>
    </row>
    <row r="82" spans="2:2" x14ac:dyDescent="0.25">
      <c r="B82" s="2" t="s">
        <v>119</v>
      </c>
    </row>
    <row r="83" spans="2:2" x14ac:dyDescent="0.25">
      <c r="B83" s="2" t="s">
        <v>120</v>
      </c>
    </row>
    <row r="84" spans="2:2" x14ac:dyDescent="0.25">
      <c r="B84" s="2" t="s">
        <v>121</v>
      </c>
    </row>
    <row r="85" spans="2:2" x14ac:dyDescent="0.25">
      <c r="B85" s="2" t="s">
        <v>122</v>
      </c>
    </row>
    <row r="86" spans="2:2" x14ac:dyDescent="0.25">
      <c r="B86" s="2" t="s">
        <v>123</v>
      </c>
    </row>
    <row r="87" spans="2:2" x14ac:dyDescent="0.25">
      <c r="B87" s="2" t="s">
        <v>124</v>
      </c>
    </row>
    <row r="88" spans="2:2" x14ac:dyDescent="0.25">
      <c r="B88" s="2" t="s">
        <v>125</v>
      </c>
    </row>
    <row r="89" spans="2:2" x14ac:dyDescent="0.25">
      <c r="B89" s="2" t="s">
        <v>126</v>
      </c>
    </row>
    <row r="90" spans="2:2" x14ac:dyDescent="0.25">
      <c r="B90" s="2" t="s">
        <v>127</v>
      </c>
    </row>
    <row r="91" spans="2:2" x14ac:dyDescent="0.25">
      <c r="B91" s="2" t="s">
        <v>128</v>
      </c>
    </row>
    <row r="92" spans="2:2" x14ac:dyDescent="0.25">
      <c r="B92" s="2" t="s">
        <v>129</v>
      </c>
    </row>
    <row r="93" spans="2:2" x14ac:dyDescent="0.25">
      <c r="B93" s="2" t="s">
        <v>130</v>
      </c>
    </row>
    <row r="94" spans="2:2" x14ac:dyDescent="0.25">
      <c r="B94" s="2" t="s">
        <v>131</v>
      </c>
    </row>
    <row r="95" spans="2:2" x14ac:dyDescent="0.25">
      <c r="B95" s="2" t="s">
        <v>132</v>
      </c>
    </row>
    <row r="96" spans="2:2" x14ac:dyDescent="0.25">
      <c r="B96" s="2" t="s">
        <v>133</v>
      </c>
    </row>
    <row r="97" spans="2:2" x14ac:dyDescent="0.25">
      <c r="B97" s="2" t="s">
        <v>134</v>
      </c>
    </row>
    <row r="98" spans="2:2" x14ac:dyDescent="0.25">
      <c r="B98" s="2" t="s">
        <v>135</v>
      </c>
    </row>
    <row r="99" spans="2:2" x14ac:dyDescent="0.25">
      <c r="B99" s="2" t="s">
        <v>136</v>
      </c>
    </row>
    <row r="100" spans="2:2" x14ac:dyDescent="0.25">
      <c r="B100" s="2" t="s">
        <v>137</v>
      </c>
    </row>
    <row r="101" spans="2:2" x14ac:dyDescent="0.25">
      <c r="B101" s="2" t="s">
        <v>138</v>
      </c>
    </row>
    <row r="102" spans="2:2" x14ac:dyDescent="0.25">
      <c r="B102" s="2" t="s">
        <v>139</v>
      </c>
    </row>
    <row r="103" spans="2:2" x14ac:dyDescent="0.25">
      <c r="B103" s="2" t="s">
        <v>140</v>
      </c>
    </row>
    <row r="104" spans="2:2" x14ac:dyDescent="0.25">
      <c r="B104" s="2" t="s">
        <v>141</v>
      </c>
    </row>
    <row r="105" spans="2:2" x14ac:dyDescent="0.25">
      <c r="B105" s="2" t="s">
        <v>142</v>
      </c>
    </row>
    <row r="106" spans="2:2" x14ac:dyDescent="0.25">
      <c r="B106" s="2" t="s">
        <v>143</v>
      </c>
    </row>
    <row r="107" spans="2:2" x14ac:dyDescent="0.25">
      <c r="B107" s="2" t="s">
        <v>144</v>
      </c>
    </row>
    <row r="108" spans="2:2" x14ac:dyDescent="0.25">
      <c r="B108" s="2" t="s">
        <v>145</v>
      </c>
    </row>
    <row r="109" spans="2:2" x14ac:dyDescent="0.25">
      <c r="B109" s="2" t="s">
        <v>146</v>
      </c>
    </row>
    <row r="110" spans="2:2" x14ac:dyDescent="0.25">
      <c r="B110" s="2" t="s">
        <v>147</v>
      </c>
    </row>
    <row r="111" spans="2:2" x14ac:dyDescent="0.25">
      <c r="B111" s="2" t="s">
        <v>148</v>
      </c>
    </row>
    <row r="112" spans="2:2" x14ac:dyDescent="0.25">
      <c r="B112" s="2" t="s">
        <v>149</v>
      </c>
    </row>
    <row r="113" spans="2:2" x14ac:dyDescent="0.25">
      <c r="B113" s="2" t="s">
        <v>150</v>
      </c>
    </row>
    <row r="114" spans="2:2" x14ac:dyDescent="0.25">
      <c r="B114" s="2" t="s">
        <v>151</v>
      </c>
    </row>
    <row r="115" spans="2:2" x14ac:dyDescent="0.25">
      <c r="B115" s="2" t="s">
        <v>152</v>
      </c>
    </row>
    <row r="116" spans="2:2" x14ac:dyDescent="0.25">
      <c r="B116" s="2" t="s">
        <v>153</v>
      </c>
    </row>
    <row r="117" spans="2:2" x14ac:dyDescent="0.25">
      <c r="B117" s="2" t="s">
        <v>154</v>
      </c>
    </row>
    <row r="118" spans="2:2" x14ac:dyDescent="0.25">
      <c r="B118" s="2" t="s">
        <v>155</v>
      </c>
    </row>
    <row r="119" spans="2:2" x14ac:dyDescent="0.25">
      <c r="B119" s="2" t="s">
        <v>156</v>
      </c>
    </row>
    <row r="120" spans="2:2" x14ac:dyDescent="0.25">
      <c r="B120" s="2" t="s">
        <v>157</v>
      </c>
    </row>
    <row r="121" spans="2:2" x14ac:dyDescent="0.25">
      <c r="B121" s="2" t="s">
        <v>158</v>
      </c>
    </row>
    <row r="122" spans="2:2" x14ac:dyDescent="0.25">
      <c r="B122" s="2" t="s">
        <v>159</v>
      </c>
    </row>
    <row r="123" spans="2:2" x14ac:dyDescent="0.25">
      <c r="B123" s="2" t="s">
        <v>160</v>
      </c>
    </row>
    <row r="124" spans="2:2" x14ac:dyDescent="0.25">
      <c r="B124" s="2" t="s">
        <v>161</v>
      </c>
    </row>
    <row r="125" spans="2:2" x14ac:dyDescent="0.25">
      <c r="B125" s="2" t="s">
        <v>162</v>
      </c>
    </row>
    <row r="126" spans="2:2" x14ac:dyDescent="0.25">
      <c r="B126" s="2" t="s">
        <v>163</v>
      </c>
    </row>
    <row r="127" spans="2:2" x14ac:dyDescent="0.25">
      <c r="B127" s="2" t="s">
        <v>164</v>
      </c>
    </row>
    <row r="128" spans="2:2" x14ac:dyDescent="0.25">
      <c r="B128" s="2" t="s">
        <v>165</v>
      </c>
    </row>
    <row r="129" spans="2:2" x14ac:dyDescent="0.25">
      <c r="B129" s="2" t="s">
        <v>166</v>
      </c>
    </row>
    <row r="130" spans="2:2" x14ac:dyDescent="0.25">
      <c r="B130" s="2" t="s">
        <v>167</v>
      </c>
    </row>
    <row r="131" spans="2:2" x14ac:dyDescent="0.25">
      <c r="B131" s="2" t="s">
        <v>168</v>
      </c>
    </row>
    <row r="132" spans="2:2" x14ac:dyDescent="0.25">
      <c r="B132" s="2" t="s">
        <v>169</v>
      </c>
    </row>
    <row r="133" spans="2:2" x14ac:dyDescent="0.25">
      <c r="B133" s="2" t="s">
        <v>170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AA752-864D-4D2F-8001-92625D3D003A}">
  <dimension ref="B2:Y13"/>
  <sheetViews>
    <sheetView zoomScale="130" zoomScaleNormal="130" workbookViewId="0">
      <selection activeCell="C4" sqref="C3:C4"/>
    </sheetView>
  </sheetViews>
  <sheetFormatPr baseColWidth="10" defaultRowHeight="15" x14ac:dyDescent="0.25"/>
  <cols>
    <col min="1" max="1" width="3.7109375" customWidth="1"/>
    <col min="2" max="12" width="13.7109375" customWidth="1"/>
  </cols>
  <sheetData>
    <row r="2" spans="2:25" x14ac:dyDescent="0.25">
      <c r="D2">
        <v>2</v>
      </c>
      <c r="E2">
        <v>3</v>
      </c>
      <c r="F2">
        <v>3</v>
      </c>
      <c r="G2">
        <v>4</v>
      </c>
      <c r="H2">
        <v>2</v>
      </c>
      <c r="I2">
        <v>3</v>
      </c>
      <c r="J2">
        <v>1</v>
      </c>
      <c r="K2">
        <v>5</v>
      </c>
      <c r="L2">
        <v>1</v>
      </c>
    </row>
    <row r="3" spans="2:25" x14ac:dyDescent="0.25">
      <c r="B3" s="2" t="s">
        <v>0</v>
      </c>
      <c r="C3" s="2" t="s">
        <v>1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19</v>
      </c>
      <c r="K3" s="2" t="s">
        <v>27</v>
      </c>
      <c r="L3" s="2" t="s">
        <v>28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2:25" x14ac:dyDescent="0.25">
      <c r="B4" s="2" t="s">
        <v>3</v>
      </c>
      <c r="C4" s="1">
        <f ca="1">+RANDBETWEEN(40000,45000)</f>
        <v>41786</v>
      </c>
      <c r="D4" s="6">
        <f ca="1">+(E4*$E$2*F4*$F$2+G4*$G$2+H4*$H$2+I4*$I$2+J4*$J$2+K4*$K$2+L4*$L$2)/SUM($E$2:$L$2)</f>
        <v>13.227272727272727</v>
      </c>
      <c r="E4" s="5">
        <f ca="1">2*RANDBETWEEN(1,3)-1</f>
        <v>5</v>
      </c>
      <c r="F4" s="5">
        <f t="shared" ref="F4:L13" ca="1" si="0">2*RANDBETWEEN(1,3)-1</f>
        <v>5</v>
      </c>
      <c r="G4" s="5">
        <f t="shared" ca="1" si="0"/>
        <v>3</v>
      </c>
      <c r="H4" s="5">
        <f t="shared" ca="1" si="0"/>
        <v>5</v>
      </c>
      <c r="I4" s="5">
        <f t="shared" ca="1" si="0"/>
        <v>5</v>
      </c>
      <c r="J4" s="5">
        <f t="shared" ca="1" si="0"/>
        <v>1</v>
      </c>
      <c r="K4" s="5">
        <f t="shared" ca="1" si="0"/>
        <v>5</v>
      </c>
      <c r="L4" s="5">
        <f t="shared" ca="1" si="0"/>
        <v>3</v>
      </c>
    </row>
    <row r="5" spans="2:25" x14ac:dyDescent="0.25">
      <c r="B5" s="2" t="s">
        <v>4</v>
      </c>
      <c r="C5" s="1">
        <f t="shared" ref="C5:C13" ca="1" si="1">+RANDBETWEEN(40000,45000)</f>
        <v>40981</v>
      </c>
      <c r="D5" s="6">
        <f t="shared" ref="D5:D13" ca="1" si="2">+(E5*$E$2*F5*$F$2+G5*$G$2+H5*$H$2+I5*$I$2+J5*$J$2+K5*$K$2+L5*$L$2)/SUM($E$2:$L$2)</f>
        <v>8.2272727272727266</v>
      </c>
      <c r="E5" s="5">
        <f t="shared" ref="E5:E13" ca="1" si="3">2*RANDBETWEEN(1,3)-1</f>
        <v>5</v>
      </c>
      <c r="F5" s="5">
        <f t="shared" ca="1" si="0"/>
        <v>3</v>
      </c>
      <c r="G5" s="5">
        <f t="shared" ca="1" si="0"/>
        <v>3</v>
      </c>
      <c r="H5" s="5">
        <f t="shared" ca="1" si="0"/>
        <v>5</v>
      </c>
      <c r="I5" s="5">
        <f t="shared" ca="1" si="0"/>
        <v>5</v>
      </c>
      <c r="J5" s="5">
        <f t="shared" ca="1" si="0"/>
        <v>3</v>
      </c>
      <c r="K5" s="5">
        <f t="shared" ca="1" si="0"/>
        <v>1</v>
      </c>
      <c r="L5" s="5">
        <f t="shared" ca="1" si="0"/>
        <v>1</v>
      </c>
    </row>
    <row r="6" spans="2:25" x14ac:dyDescent="0.25">
      <c r="B6" s="2" t="s">
        <v>5</v>
      </c>
      <c r="C6" s="1">
        <f t="shared" ca="1" si="1"/>
        <v>43122</v>
      </c>
      <c r="D6" s="6">
        <f t="shared" ca="1" si="2"/>
        <v>5.0454545454545459</v>
      </c>
      <c r="E6" s="5">
        <f t="shared" ca="1" si="3"/>
        <v>1</v>
      </c>
      <c r="F6" s="5">
        <f t="shared" ca="1" si="0"/>
        <v>5</v>
      </c>
      <c r="G6" s="5">
        <f t="shared" ca="1" si="0"/>
        <v>5</v>
      </c>
      <c r="H6" s="5">
        <f t="shared" ca="1" si="0"/>
        <v>3</v>
      </c>
      <c r="I6" s="5">
        <f t="shared" ca="1" si="0"/>
        <v>5</v>
      </c>
      <c r="J6" s="5">
        <f t="shared" ca="1" si="0"/>
        <v>5</v>
      </c>
      <c r="K6" s="5">
        <f t="shared" ca="1" si="0"/>
        <v>3</v>
      </c>
      <c r="L6" s="5">
        <f t="shared" ca="1" si="0"/>
        <v>5</v>
      </c>
    </row>
    <row r="7" spans="2:25" x14ac:dyDescent="0.25">
      <c r="B7" s="2" t="s">
        <v>6</v>
      </c>
      <c r="C7" s="1">
        <f t="shared" ca="1" si="1"/>
        <v>43188</v>
      </c>
      <c r="D7" s="6">
        <f t="shared" ca="1" si="2"/>
        <v>2.9545454545454546</v>
      </c>
      <c r="E7" s="5">
        <f t="shared" ca="1" si="3"/>
        <v>3</v>
      </c>
      <c r="F7" s="5">
        <f t="shared" ca="1" si="0"/>
        <v>1</v>
      </c>
      <c r="G7" s="5">
        <f t="shared" ca="1" si="0"/>
        <v>3</v>
      </c>
      <c r="H7" s="5">
        <f t="shared" ca="1" si="0"/>
        <v>3</v>
      </c>
      <c r="I7" s="5">
        <f t="shared" ca="1" si="0"/>
        <v>3</v>
      </c>
      <c r="J7" s="5">
        <f t="shared" ca="1" si="0"/>
        <v>5</v>
      </c>
      <c r="K7" s="5">
        <f t="shared" ca="1" si="0"/>
        <v>1</v>
      </c>
      <c r="L7" s="5">
        <f t="shared" ca="1" si="0"/>
        <v>1</v>
      </c>
    </row>
    <row r="8" spans="2:25" x14ac:dyDescent="0.25">
      <c r="B8" s="2" t="s">
        <v>7</v>
      </c>
      <c r="C8" s="1">
        <f t="shared" ca="1" si="1"/>
        <v>44056</v>
      </c>
      <c r="D8" s="6">
        <f t="shared" ca="1" si="2"/>
        <v>3.2272727272727271</v>
      </c>
      <c r="E8" s="5">
        <f t="shared" ca="1" si="3"/>
        <v>1</v>
      </c>
      <c r="F8" s="5">
        <f t="shared" ca="1" si="0"/>
        <v>5</v>
      </c>
      <c r="G8" s="5">
        <f t="shared" ca="1" si="0"/>
        <v>3</v>
      </c>
      <c r="H8" s="5">
        <f t="shared" ca="1" si="0"/>
        <v>1</v>
      </c>
      <c r="I8" s="5">
        <f t="shared" ca="1" si="0"/>
        <v>1</v>
      </c>
      <c r="J8" s="5">
        <f t="shared" ca="1" si="0"/>
        <v>3</v>
      </c>
      <c r="K8" s="5">
        <f t="shared" ca="1" si="0"/>
        <v>1</v>
      </c>
      <c r="L8" s="5">
        <f t="shared" ca="1" si="0"/>
        <v>1</v>
      </c>
    </row>
    <row r="9" spans="2:25" x14ac:dyDescent="0.25">
      <c r="B9" s="2" t="s">
        <v>8</v>
      </c>
      <c r="C9" s="1">
        <f t="shared" ca="1" si="1"/>
        <v>41508</v>
      </c>
      <c r="D9" s="6">
        <f t="shared" ca="1" si="2"/>
        <v>7.9545454545454541</v>
      </c>
      <c r="E9" s="5">
        <f t="shared" ca="1" si="3"/>
        <v>3</v>
      </c>
      <c r="F9" s="5">
        <f t="shared" ca="1" si="0"/>
        <v>5</v>
      </c>
      <c r="G9" s="5">
        <f t="shared" ca="1" si="0"/>
        <v>1</v>
      </c>
      <c r="H9" s="5">
        <f t="shared" ca="1" si="0"/>
        <v>5</v>
      </c>
      <c r="I9" s="5">
        <f t="shared" ca="1" si="0"/>
        <v>3</v>
      </c>
      <c r="J9" s="5">
        <f t="shared" ca="1" si="0"/>
        <v>1</v>
      </c>
      <c r="K9" s="5">
        <f t="shared" ca="1" si="0"/>
        <v>3</v>
      </c>
      <c r="L9" s="5">
        <f t="shared" ca="1" si="0"/>
        <v>1</v>
      </c>
    </row>
    <row r="10" spans="2:25" x14ac:dyDescent="0.25">
      <c r="B10" s="2" t="s">
        <v>9</v>
      </c>
      <c r="C10" s="1">
        <f t="shared" ca="1" si="1"/>
        <v>43401</v>
      </c>
      <c r="D10" s="6">
        <f t="shared" ca="1" si="2"/>
        <v>11.227272727272727</v>
      </c>
      <c r="E10" s="5">
        <f t="shared" ca="1" si="3"/>
        <v>5</v>
      </c>
      <c r="F10" s="5">
        <f t="shared" ca="1" si="0"/>
        <v>5</v>
      </c>
      <c r="G10" s="5">
        <f t="shared" ca="1" si="0"/>
        <v>1</v>
      </c>
      <c r="H10" s="5">
        <f t="shared" ca="1" si="0"/>
        <v>1</v>
      </c>
      <c r="I10" s="5">
        <f t="shared" ca="1" si="0"/>
        <v>1</v>
      </c>
      <c r="J10" s="5">
        <f t="shared" ca="1" si="0"/>
        <v>3</v>
      </c>
      <c r="K10" s="5">
        <f t="shared" ca="1" si="0"/>
        <v>1</v>
      </c>
      <c r="L10" s="5">
        <f t="shared" ca="1" si="0"/>
        <v>5</v>
      </c>
    </row>
    <row r="11" spans="2:25" x14ac:dyDescent="0.25">
      <c r="B11" s="2" t="s">
        <v>10</v>
      </c>
      <c r="C11" s="1">
        <f t="shared" ca="1" si="1"/>
        <v>41950</v>
      </c>
      <c r="D11" s="6">
        <f t="shared" ca="1" si="2"/>
        <v>4.3181818181818183</v>
      </c>
      <c r="E11" s="5">
        <f t="shared" ca="1" si="3"/>
        <v>1</v>
      </c>
      <c r="F11" s="5">
        <f t="shared" ca="1" si="0"/>
        <v>5</v>
      </c>
      <c r="G11" s="5">
        <f t="shared" ca="1" si="0"/>
        <v>1</v>
      </c>
      <c r="H11" s="5">
        <f t="shared" ca="1" si="0"/>
        <v>5</v>
      </c>
      <c r="I11" s="5">
        <f t="shared" ca="1" si="0"/>
        <v>3</v>
      </c>
      <c r="J11" s="5">
        <f t="shared" ca="1" si="0"/>
        <v>1</v>
      </c>
      <c r="K11" s="5">
        <f t="shared" ca="1" si="0"/>
        <v>5</v>
      </c>
      <c r="L11" s="5">
        <f t="shared" ca="1" si="0"/>
        <v>1</v>
      </c>
    </row>
    <row r="12" spans="2:25" x14ac:dyDescent="0.25">
      <c r="B12" s="2" t="s">
        <v>11</v>
      </c>
      <c r="C12" s="1">
        <f t="shared" ca="1" si="1"/>
        <v>42261</v>
      </c>
      <c r="D12" s="6">
        <f t="shared" ca="1" si="2"/>
        <v>2.7727272727272729</v>
      </c>
      <c r="E12" s="5">
        <f t="shared" ca="1" si="3"/>
        <v>1</v>
      </c>
      <c r="F12" s="5">
        <f t="shared" ca="1" si="0"/>
        <v>1</v>
      </c>
      <c r="G12" s="5">
        <f t="shared" ca="1" si="0"/>
        <v>5</v>
      </c>
      <c r="H12" s="5">
        <f t="shared" ca="1" si="0"/>
        <v>1</v>
      </c>
      <c r="I12" s="5">
        <f t="shared" ca="1" si="0"/>
        <v>3</v>
      </c>
      <c r="J12" s="5">
        <f t="shared" ca="1" si="0"/>
        <v>1</v>
      </c>
      <c r="K12" s="5">
        <f t="shared" ca="1" si="0"/>
        <v>3</v>
      </c>
      <c r="L12" s="5">
        <f t="shared" ca="1" si="0"/>
        <v>5</v>
      </c>
    </row>
    <row r="13" spans="2:25" x14ac:dyDescent="0.25">
      <c r="B13" s="2" t="s">
        <v>12</v>
      </c>
      <c r="C13" s="1">
        <f t="shared" ca="1" si="1"/>
        <v>42742</v>
      </c>
      <c r="D13" s="6">
        <f t="shared" ca="1" si="2"/>
        <v>2.8636363636363638</v>
      </c>
      <c r="E13" s="5">
        <f t="shared" ca="1" si="3"/>
        <v>3</v>
      </c>
      <c r="F13" s="5">
        <f t="shared" ca="1" si="0"/>
        <v>1</v>
      </c>
      <c r="G13" s="5">
        <f t="shared" ca="1" si="0"/>
        <v>3</v>
      </c>
      <c r="H13" s="5">
        <f t="shared" ca="1" si="0"/>
        <v>3</v>
      </c>
      <c r="I13" s="5">
        <f t="shared" ca="1" si="0"/>
        <v>3</v>
      </c>
      <c r="J13" s="5">
        <f t="shared" ca="1" si="0"/>
        <v>3</v>
      </c>
      <c r="K13" s="5">
        <f t="shared" ca="1" si="0"/>
        <v>1</v>
      </c>
      <c r="L13" s="5">
        <f t="shared" ca="1" si="0"/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801B3-53AA-49E4-B5E8-95DCE254A705}">
  <dimension ref="B2:Y13"/>
  <sheetViews>
    <sheetView tabSelected="1" zoomScale="130" zoomScaleNormal="130" workbookViewId="0">
      <selection activeCell="N9" sqref="N9"/>
    </sheetView>
  </sheetViews>
  <sheetFormatPr baseColWidth="10" defaultRowHeight="15" x14ac:dyDescent="0.25"/>
  <cols>
    <col min="1" max="1" width="3.7109375" customWidth="1"/>
    <col min="2" max="9" width="13.7109375" customWidth="1"/>
    <col min="10" max="10" width="5.7109375" bestFit="1" customWidth="1"/>
    <col min="11" max="11" width="5.5703125" bestFit="1" customWidth="1"/>
    <col min="12" max="12" width="5.28515625" bestFit="1" customWidth="1"/>
  </cols>
  <sheetData>
    <row r="2" spans="2:25" x14ac:dyDescent="0.25">
      <c r="D2">
        <v>5</v>
      </c>
      <c r="E2">
        <v>1</v>
      </c>
      <c r="F2">
        <v>5</v>
      </c>
      <c r="G2">
        <v>2</v>
      </c>
      <c r="H2">
        <v>2</v>
      </c>
      <c r="I2">
        <v>3</v>
      </c>
    </row>
    <row r="3" spans="2:25" x14ac:dyDescent="0.25">
      <c r="B3" s="2" t="s">
        <v>0</v>
      </c>
      <c r="C3" s="2" t="s">
        <v>1</v>
      </c>
      <c r="D3" s="2" t="s">
        <v>38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2:25" x14ac:dyDescent="0.25">
      <c r="B4" s="2" t="s">
        <v>3</v>
      </c>
      <c r="C4" s="1">
        <f ca="1">+RANDBETWEEN(40000,45000)</f>
        <v>43418</v>
      </c>
      <c r="D4" s="6">
        <f ca="1">+(E4*$E$2*F4*$F$2+G4*$G$2+H4*$H$2+I4*$I$2)/SUM($E$2:$I$2)</f>
        <v>5.615384615384615</v>
      </c>
      <c r="E4" s="5">
        <f ca="1">+RANDBETWEEN(1,5)</f>
        <v>4</v>
      </c>
      <c r="F4" s="5">
        <f t="shared" ref="F4:G13" ca="1" si="0">+RANDBETWEEN(1,5)</f>
        <v>3</v>
      </c>
      <c r="G4" s="5">
        <f t="shared" ca="1" si="0"/>
        <v>2</v>
      </c>
      <c r="H4" s="5">
        <f t="shared" ref="H4:I13" ca="1" si="1">2*RANDBETWEEN(1,3)-1</f>
        <v>3</v>
      </c>
      <c r="I4" s="5">
        <f t="shared" ca="1" si="1"/>
        <v>1</v>
      </c>
      <c r="J4" s="5"/>
      <c r="K4" s="5"/>
      <c r="L4" s="5"/>
    </row>
    <row r="5" spans="2:25" x14ac:dyDescent="0.25">
      <c r="B5" s="2" t="s">
        <v>4</v>
      </c>
      <c r="C5" s="1">
        <f t="shared" ref="C5:C13" ca="1" si="2">+RANDBETWEEN(40000,45000)</f>
        <v>44890</v>
      </c>
      <c r="D5" s="6">
        <f t="shared" ref="D5:D13" ca="1" si="3">+(E5*$E$2*F5*$F$2+G5*$G$2+H5*$H$2+I5*$I$2)/SUM($E$2:$I$2)</f>
        <v>7.5384615384615383</v>
      </c>
      <c r="E5" s="5">
        <f t="shared" ref="E5:E13" ca="1" si="4">+RANDBETWEEN(1,5)</f>
        <v>5</v>
      </c>
      <c r="F5" s="5">
        <f t="shared" ca="1" si="0"/>
        <v>3</v>
      </c>
      <c r="G5" s="5">
        <f t="shared" ca="1" si="0"/>
        <v>5</v>
      </c>
      <c r="H5" s="5">
        <f t="shared" ca="1" si="1"/>
        <v>5</v>
      </c>
      <c r="I5" s="5">
        <f t="shared" ca="1" si="1"/>
        <v>1</v>
      </c>
      <c r="J5" s="5"/>
      <c r="K5" s="5"/>
      <c r="L5" s="5"/>
    </row>
    <row r="6" spans="2:25" x14ac:dyDescent="0.25">
      <c r="B6" s="2" t="s">
        <v>5</v>
      </c>
      <c r="C6" s="1">
        <f t="shared" ca="1" si="2"/>
        <v>43020</v>
      </c>
      <c r="D6" s="6">
        <f t="shared" ca="1" si="3"/>
        <v>1.8461538461538463</v>
      </c>
      <c r="E6" s="5">
        <f t="shared" ca="1" si="4"/>
        <v>1</v>
      </c>
      <c r="F6" s="5">
        <f t="shared" ca="1" si="0"/>
        <v>1</v>
      </c>
      <c r="G6" s="5">
        <f t="shared" ca="1" si="0"/>
        <v>5</v>
      </c>
      <c r="H6" s="5">
        <f t="shared" ca="1" si="1"/>
        <v>3</v>
      </c>
      <c r="I6" s="5">
        <f t="shared" ca="1" si="1"/>
        <v>1</v>
      </c>
      <c r="J6" s="5"/>
      <c r="K6" s="5"/>
      <c r="L6" s="5"/>
    </row>
    <row r="7" spans="2:25" x14ac:dyDescent="0.25">
      <c r="B7" s="2" t="s">
        <v>6</v>
      </c>
      <c r="C7" s="1">
        <f t="shared" ca="1" si="2"/>
        <v>40331</v>
      </c>
      <c r="D7" s="6">
        <f t="shared" ca="1" si="3"/>
        <v>1.7692307692307692</v>
      </c>
      <c r="E7" s="5">
        <f t="shared" ca="1" si="4"/>
        <v>1</v>
      </c>
      <c r="F7" s="5">
        <f t="shared" ca="1" si="0"/>
        <v>2</v>
      </c>
      <c r="G7" s="5">
        <f t="shared" ca="1" si="0"/>
        <v>4</v>
      </c>
      <c r="H7" s="5">
        <f t="shared" ca="1" si="1"/>
        <v>1</v>
      </c>
      <c r="I7" s="5">
        <f t="shared" ca="1" si="1"/>
        <v>1</v>
      </c>
      <c r="J7" s="5"/>
      <c r="K7" s="5"/>
      <c r="L7" s="5"/>
    </row>
    <row r="8" spans="2:25" x14ac:dyDescent="0.25">
      <c r="B8" s="2" t="s">
        <v>7</v>
      </c>
      <c r="C8" s="1">
        <f t="shared" ca="1" si="2"/>
        <v>43822</v>
      </c>
      <c r="D8" s="6">
        <f t="shared" ca="1" si="3"/>
        <v>4.9230769230769234</v>
      </c>
      <c r="E8" s="5">
        <f t="shared" ca="1" si="4"/>
        <v>3</v>
      </c>
      <c r="F8" s="5">
        <f t="shared" ca="1" si="0"/>
        <v>3</v>
      </c>
      <c r="G8" s="5">
        <f t="shared" ca="1" si="0"/>
        <v>5</v>
      </c>
      <c r="H8" s="5">
        <f t="shared" ca="1" si="1"/>
        <v>3</v>
      </c>
      <c r="I8" s="5">
        <f t="shared" ca="1" si="1"/>
        <v>1</v>
      </c>
      <c r="J8" s="5"/>
      <c r="K8" s="5"/>
      <c r="L8" s="5"/>
    </row>
    <row r="9" spans="2:25" x14ac:dyDescent="0.25">
      <c r="B9" s="2" t="s">
        <v>8</v>
      </c>
      <c r="C9" s="1">
        <f t="shared" ca="1" si="2"/>
        <v>41343</v>
      </c>
      <c r="D9" s="6">
        <f t="shared" ca="1" si="3"/>
        <v>3.0769230769230771</v>
      </c>
      <c r="E9" s="5">
        <f t="shared" ca="1" si="4"/>
        <v>1</v>
      </c>
      <c r="F9" s="5">
        <f t="shared" ca="1" si="0"/>
        <v>5</v>
      </c>
      <c r="G9" s="5">
        <f t="shared" ca="1" si="0"/>
        <v>2</v>
      </c>
      <c r="H9" s="5">
        <f t="shared" ca="1" si="1"/>
        <v>1</v>
      </c>
      <c r="I9" s="5">
        <f t="shared" ca="1" si="1"/>
        <v>3</v>
      </c>
      <c r="J9" s="5"/>
      <c r="K9" s="5"/>
      <c r="L9" s="5"/>
    </row>
    <row r="10" spans="2:25" x14ac:dyDescent="0.25">
      <c r="B10" s="2" t="s">
        <v>9</v>
      </c>
      <c r="C10" s="1">
        <f t="shared" ca="1" si="2"/>
        <v>40714</v>
      </c>
      <c r="D10" s="6">
        <f t="shared" ca="1" si="3"/>
        <v>10.923076923076923</v>
      </c>
      <c r="E10" s="5">
        <f t="shared" ca="1" si="4"/>
        <v>5</v>
      </c>
      <c r="F10" s="5">
        <f t="shared" ca="1" si="0"/>
        <v>5</v>
      </c>
      <c r="G10" s="5">
        <f t="shared" ca="1" si="0"/>
        <v>3</v>
      </c>
      <c r="H10" s="5">
        <f t="shared" ca="1" si="1"/>
        <v>1</v>
      </c>
      <c r="I10" s="5">
        <f t="shared" ca="1" si="1"/>
        <v>3</v>
      </c>
      <c r="J10" s="5"/>
      <c r="K10" s="5"/>
      <c r="L10" s="5"/>
    </row>
    <row r="11" spans="2:25" x14ac:dyDescent="0.25">
      <c r="B11" s="2" t="s">
        <v>10</v>
      </c>
      <c r="C11" s="1">
        <f t="shared" ca="1" si="2"/>
        <v>42235</v>
      </c>
      <c r="D11" s="6">
        <f t="shared" ca="1" si="3"/>
        <v>2.4615384615384617</v>
      </c>
      <c r="E11" s="5">
        <f t="shared" ca="1" si="4"/>
        <v>1</v>
      </c>
      <c r="F11" s="5">
        <f t="shared" ca="1" si="0"/>
        <v>3</v>
      </c>
      <c r="G11" s="5">
        <f t="shared" ca="1" si="0"/>
        <v>3</v>
      </c>
      <c r="H11" s="5">
        <f t="shared" ca="1" si="1"/>
        <v>1</v>
      </c>
      <c r="I11" s="5">
        <f t="shared" ca="1" si="1"/>
        <v>3</v>
      </c>
      <c r="J11" s="5"/>
      <c r="K11" s="5"/>
      <c r="L11" s="5"/>
    </row>
    <row r="12" spans="2:25" x14ac:dyDescent="0.25">
      <c r="B12" s="2" t="s">
        <v>11</v>
      </c>
      <c r="C12" s="1">
        <f t="shared" ca="1" si="2"/>
        <v>40789</v>
      </c>
      <c r="D12" s="6">
        <f t="shared" ca="1" si="3"/>
        <v>2.6923076923076925</v>
      </c>
      <c r="E12" s="5">
        <f t="shared" ca="1" si="4"/>
        <v>1</v>
      </c>
      <c r="F12" s="5">
        <f t="shared" ca="1" si="0"/>
        <v>4</v>
      </c>
      <c r="G12" s="5">
        <f t="shared" ca="1" si="0"/>
        <v>3</v>
      </c>
      <c r="H12" s="5">
        <f t="shared" ca="1" si="1"/>
        <v>3</v>
      </c>
      <c r="I12" s="5">
        <f t="shared" ca="1" si="1"/>
        <v>1</v>
      </c>
      <c r="J12" s="5"/>
      <c r="K12" s="5"/>
      <c r="L12" s="5"/>
    </row>
    <row r="13" spans="2:25" x14ac:dyDescent="0.25">
      <c r="B13" s="2" t="s">
        <v>12</v>
      </c>
      <c r="C13" s="1">
        <f t="shared" ca="1" si="2"/>
        <v>43337</v>
      </c>
      <c r="D13" s="6">
        <f t="shared" ca="1" si="3"/>
        <v>2.2307692307692308</v>
      </c>
      <c r="E13" s="5">
        <f t="shared" ca="1" si="4"/>
        <v>1</v>
      </c>
      <c r="F13" s="5">
        <f t="shared" ca="1" si="0"/>
        <v>2</v>
      </c>
      <c r="G13" s="5">
        <f t="shared" ca="1" si="0"/>
        <v>2</v>
      </c>
      <c r="H13" s="5">
        <f t="shared" ca="1" si="1"/>
        <v>3</v>
      </c>
      <c r="I13" s="5">
        <f t="shared" ca="1" si="1"/>
        <v>3</v>
      </c>
      <c r="J13" s="5"/>
      <c r="K13" s="5"/>
      <c r="L13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7C1DF-064F-4440-B4A2-03E1CDC503EA}">
  <dimension ref="B2:Y13"/>
  <sheetViews>
    <sheetView zoomScale="130" zoomScaleNormal="130" workbookViewId="0">
      <selection activeCell="B3" sqref="B3:G13"/>
    </sheetView>
  </sheetViews>
  <sheetFormatPr baseColWidth="10" defaultRowHeight="15" x14ac:dyDescent="0.25"/>
  <cols>
    <col min="1" max="1" width="3.7109375" customWidth="1"/>
    <col min="2" max="7" width="13.7109375" customWidth="1"/>
    <col min="8" max="8" width="6.5703125" bestFit="1" customWidth="1"/>
    <col min="9" max="9" width="5.5703125" bestFit="1" customWidth="1"/>
    <col min="10" max="10" width="5.7109375" bestFit="1" customWidth="1"/>
    <col min="11" max="11" width="5.5703125" bestFit="1" customWidth="1"/>
    <col min="12" max="12" width="5.28515625" bestFit="1" customWidth="1"/>
  </cols>
  <sheetData>
    <row r="2" spans="2:25" x14ac:dyDescent="0.25">
      <c r="D2">
        <v>4</v>
      </c>
      <c r="E2">
        <v>3</v>
      </c>
      <c r="F2">
        <v>5</v>
      </c>
      <c r="G2">
        <v>5</v>
      </c>
    </row>
    <row r="3" spans="2:25" x14ac:dyDescent="0.25">
      <c r="B3" s="2" t="s">
        <v>0</v>
      </c>
      <c r="C3" s="2" t="s">
        <v>1</v>
      </c>
      <c r="D3" s="2" t="s">
        <v>34</v>
      </c>
      <c r="E3" s="2" t="s">
        <v>35</v>
      </c>
      <c r="F3" s="2" t="s">
        <v>36</v>
      </c>
      <c r="G3" s="2" t="s">
        <v>37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2:25" x14ac:dyDescent="0.25">
      <c r="B4" s="2" t="s">
        <v>3</v>
      </c>
      <c r="C4" s="1">
        <f ca="1">+RANDBETWEEN(40000,45000)</f>
        <v>44475</v>
      </c>
      <c r="D4" s="6">
        <f ca="1">+(E4*$E$2*F4*$F$2+G4*$G$2)/SUM($E$2:$G$2)</f>
        <v>30.76923076923077</v>
      </c>
      <c r="E4" s="5">
        <f ca="1">+POWER(5,RANDBETWEEN(1,2)-1)</f>
        <v>5</v>
      </c>
      <c r="F4" s="5">
        <f t="shared" ref="F4:F13" ca="1" si="0">+POWER(5,RANDBETWEEN(1,2)-1)</f>
        <v>5</v>
      </c>
      <c r="G4" s="5">
        <f t="shared" ref="G4:G13" ca="1" si="1">2*RANDBETWEEN(1,3)-1</f>
        <v>5</v>
      </c>
      <c r="H4" s="5"/>
      <c r="I4" s="5"/>
      <c r="J4" s="5"/>
      <c r="K4" s="5"/>
      <c r="L4" s="5"/>
    </row>
    <row r="5" spans="2:25" x14ac:dyDescent="0.25">
      <c r="B5" s="2" t="s">
        <v>4</v>
      </c>
      <c r="C5" s="1">
        <f t="shared" ref="C5:C13" ca="1" si="2">+RANDBETWEEN(40000,45000)</f>
        <v>41705</v>
      </c>
      <c r="D5" s="6">
        <f t="shared" ref="D5:D13" ca="1" si="3">+(E5*$E$2*F5*$F$2+G5*$G$2)/SUM($E$2:$G$2)</f>
        <v>1.5384615384615385</v>
      </c>
      <c r="E5" s="5">
        <f t="shared" ref="E5:E13" ca="1" si="4">+POWER(5,RANDBETWEEN(1,2)-1)</f>
        <v>1</v>
      </c>
      <c r="F5" s="5">
        <f t="shared" ca="1" si="0"/>
        <v>1</v>
      </c>
      <c r="G5" s="5">
        <f t="shared" ca="1" si="1"/>
        <v>1</v>
      </c>
      <c r="H5" s="5"/>
      <c r="I5" s="5"/>
      <c r="J5" s="5"/>
      <c r="K5" s="5"/>
      <c r="L5" s="5"/>
    </row>
    <row r="6" spans="2:25" x14ac:dyDescent="0.25">
      <c r="B6" s="2" t="s">
        <v>5</v>
      </c>
      <c r="C6" s="1">
        <f t="shared" ca="1" si="2"/>
        <v>41584</v>
      </c>
      <c r="D6" s="6">
        <f t="shared" ca="1" si="3"/>
        <v>6.1538461538461542</v>
      </c>
      <c r="E6" s="5">
        <f t="shared" ca="1" si="4"/>
        <v>1</v>
      </c>
      <c r="F6" s="5">
        <f t="shared" ca="1" si="0"/>
        <v>5</v>
      </c>
      <c r="G6" s="5">
        <f t="shared" ca="1" si="1"/>
        <v>1</v>
      </c>
      <c r="H6" s="5"/>
      <c r="I6" s="5"/>
      <c r="J6" s="5"/>
      <c r="K6" s="5"/>
      <c r="L6" s="5"/>
    </row>
    <row r="7" spans="2:25" x14ac:dyDescent="0.25">
      <c r="B7" s="2" t="s">
        <v>6</v>
      </c>
      <c r="C7" s="1">
        <f t="shared" ca="1" si="2"/>
        <v>40633</v>
      </c>
      <c r="D7" s="6">
        <f t="shared" ca="1" si="3"/>
        <v>1.5384615384615385</v>
      </c>
      <c r="E7" s="5">
        <f t="shared" ca="1" si="4"/>
        <v>1</v>
      </c>
      <c r="F7" s="5">
        <f t="shared" ca="1" si="0"/>
        <v>1</v>
      </c>
      <c r="G7" s="5">
        <f t="shared" ca="1" si="1"/>
        <v>1</v>
      </c>
      <c r="H7" s="5"/>
      <c r="I7" s="5"/>
      <c r="J7" s="5"/>
      <c r="K7" s="5"/>
      <c r="L7" s="5"/>
    </row>
    <row r="8" spans="2:25" x14ac:dyDescent="0.25">
      <c r="B8" s="2" t="s">
        <v>7</v>
      </c>
      <c r="C8" s="1">
        <f t="shared" ca="1" si="2"/>
        <v>41104</v>
      </c>
      <c r="D8" s="6">
        <f t="shared" ca="1" si="3"/>
        <v>1.5384615384615385</v>
      </c>
      <c r="E8" s="5">
        <f t="shared" ca="1" si="4"/>
        <v>1</v>
      </c>
      <c r="F8" s="5">
        <f t="shared" ca="1" si="0"/>
        <v>1</v>
      </c>
      <c r="G8" s="5">
        <f t="shared" ca="1" si="1"/>
        <v>1</v>
      </c>
      <c r="H8" s="5"/>
      <c r="I8" s="5"/>
      <c r="J8" s="5"/>
      <c r="K8" s="5"/>
      <c r="L8" s="5"/>
    </row>
    <row r="9" spans="2:25" x14ac:dyDescent="0.25">
      <c r="B9" s="2" t="s">
        <v>8</v>
      </c>
      <c r="C9" s="1">
        <f t="shared" ca="1" si="2"/>
        <v>42282</v>
      </c>
      <c r="D9" s="6">
        <f t="shared" ca="1" si="3"/>
        <v>29.23076923076923</v>
      </c>
      <c r="E9" s="5">
        <f t="shared" ca="1" si="4"/>
        <v>5</v>
      </c>
      <c r="F9" s="5">
        <f t="shared" ca="1" si="0"/>
        <v>5</v>
      </c>
      <c r="G9" s="5">
        <f t="shared" ca="1" si="1"/>
        <v>1</v>
      </c>
      <c r="H9" s="5"/>
      <c r="I9" s="5"/>
      <c r="J9" s="5"/>
      <c r="K9" s="5"/>
      <c r="L9" s="5"/>
    </row>
    <row r="10" spans="2:25" x14ac:dyDescent="0.25">
      <c r="B10" s="2" t="s">
        <v>9</v>
      </c>
      <c r="C10" s="1">
        <f t="shared" ca="1" si="2"/>
        <v>41388</v>
      </c>
      <c r="D10" s="6">
        <f t="shared" ca="1" si="3"/>
        <v>7.6923076923076925</v>
      </c>
      <c r="E10" s="5">
        <f t="shared" ca="1" si="4"/>
        <v>1</v>
      </c>
      <c r="F10" s="5">
        <f t="shared" ca="1" si="0"/>
        <v>5</v>
      </c>
      <c r="G10" s="5">
        <f t="shared" ca="1" si="1"/>
        <v>5</v>
      </c>
      <c r="H10" s="5"/>
      <c r="I10" s="5"/>
      <c r="J10" s="5"/>
      <c r="K10" s="5"/>
      <c r="L10" s="5"/>
    </row>
    <row r="11" spans="2:25" x14ac:dyDescent="0.25">
      <c r="B11" s="2" t="s">
        <v>10</v>
      </c>
      <c r="C11" s="1">
        <f t="shared" ca="1" si="2"/>
        <v>44809</v>
      </c>
      <c r="D11" s="6">
        <f t="shared" ca="1" si="3"/>
        <v>6.1538461538461542</v>
      </c>
      <c r="E11" s="5">
        <f t="shared" ca="1" si="4"/>
        <v>5</v>
      </c>
      <c r="F11" s="5">
        <f t="shared" ca="1" si="0"/>
        <v>1</v>
      </c>
      <c r="G11" s="5">
        <f t="shared" ca="1" si="1"/>
        <v>1</v>
      </c>
      <c r="H11" s="5"/>
      <c r="I11" s="5"/>
      <c r="J11" s="5"/>
      <c r="K11" s="5"/>
      <c r="L11" s="5"/>
    </row>
    <row r="12" spans="2:25" x14ac:dyDescent="0.25">
      <c r="B12" s="2" t="s">
        <v>11</v>
      </c>
      <c r="C12" s="1">
        <f t="shared" ca="1" si="2"/>
        <v>43644</v>
      </c>
      <c r="D12" s="6">
        <f t="shared" ca="1" si="3"/>
        <v>30.76923076923077</v>
      </c>
      <c r="E12" s="5">
        <f t="shared" ca="1" si="4"/>
        <v>5</v>
      </c>
      <c r="F12" s="5">
        <f t="shared" ca="1" si="0"/>
        <v>5</v>
      </c>
      <c r="G12" s="5">
        <f t="shared" ca="1" si="1"/>
        <v>5</v>
      </c>
      <c r="H12" s="5"/>
      <c r="I12" s="5"/>
      <c r="J12" s="5"/>
      <c r="K12" s="5"/>
      <c r="L12" s="5"/>
    </row>
    <row r="13" spans="2:25" x14ac:dyDescent="0.25">
      <c r="B13" s="2" t="s">
        <v>12</v>
      </c>
      <c r="C13" s="1">
        <f t="shared" ca="1" si="2"/>
        <v>44081</v>
      </c>
      <c r="D13" s="6">
        <f t="shared" ca="1" si="3"/>
        <v>2.3076923076923075</v>
      </c>
      <c r="E13" s="5">
        <f t="shared" ca="1" si="4"/>
        <v>1</v>
      </c>
      <c r="F13" s="5">
        <f t="shared" ca="1" si="0"/>
        <v>1</v>
      </c>
      <c r="G13" s="5">
        <f t="shared" ca="1" si="1"/>
        <v>3</v>
      </c>
      <c r="H13" s="5"/>
      <c r="I13" s="5"/>
      <c r="J13" s="5"/>
      <c r="K13" s="5"/>
      <c r="L13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8E8E5-2BA7-4286-900E-29E5351F05EC}">
  <dimension ref="B2:Y13"/>
  <sheetViews>
    <sheetView zoomScale="130" zoomScaleNormal="130" workbookViewId="0">
      <selection activeCell="D20" sqref="D20"/>
    </sheetView>
  </sheetViews>
  <sheetFormatPr baseColWidth="10" defaultRowHeight="15" x14ac:dyDescent="0.25"/>
  <cols>
    <col min="1" max="1" width="3.7109375" customWidth="1"/>
    <col min="2" max="7" width="13.7109375" customWidth="1"/>
    <col min="8" max="8" width="6.5703125" bestFit="1" customWidth="1"/>
    <col min="9" max="9" width="5.5703125" bestFit="1" customWidth="1"/>
    <col min="10" max="10" width="5.7109375" bestFit="1" customWidth="1"/>
    <col min="11" max="11" width="5.5703125" bestFit="1" customWidth="1"/>
    <col min="12" max="12" width="5.28515625" bestFit="1" customWidth="1"/>
  </cols>
  <sheetData>
    <row r="2" spans="2:25" x14ac:dyDescent="0.25">
      <c r="D2">
        <v>2</v>
      </c>
      <c r="E2">
        <v>3</v>
      </c>
      <c r="F2">
        <v>5</v>
      </c>
      <c r="G2">
        <v>3</v>
      </c>
    </row>
    <row r="3" spans="2:25" x14ac:dyDescent="0.25">
      <c r="B3" s="2" t="s">
        <v>0</v>
      </c>
      <c r="C3" s="2" t="s">
        <v>1</v>
      </c>
      <c r="D3" s="2" t="s">
        <v>39</v>
      </c>
      <c r="E3" s="2" t="s">
        <v>40</v>
      </c>
      <c r="F3" s="2" t="s">
        <v>41</v>
      </c>
      <c r="G3" s="2" t="s">
        <v>42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2:25" x14ac:dyDescent="0.25">
      <c r="B4" s="2" t="s">
        <v>3</v>
      </c>
      <c r="C4" s="1">
        <f ca="1">+RANDBETWEEN(40000,45000)</f>
        <v>44129</v>
      </c>
      <c r="D4" s="6">
        <f ca="1">+(E4*$E$2*F4*$F$2+G4*$G$2)/SUM($E$2:$G$2)</f>
        <v>1.6363636363636365</v>
      </c>
      <c r="E4" s="5">
        <f t="shared" ref="E4:E13" ca="1" si="0">+RANDBETWEEN(1,5)</f>
        <v>1</v>
      </c>
      <c r="F4" s="5">
        <f t="shared" ref="F4:G13" ca="1" si="1">+POWER(5,RANDBETWEEN(1,2)-1)</f>
        <v>1</v>
      </c>
      <c r="G4" s="5">
        <f t="shared" ca="1" si="1"/>
        <v>1</v>
      </c>
      <c r="H4" s="5"/>
      <c r="I4" s="5"/>
      <c r="J4" s="5"/>
      <c r="K4" s="5"/>
      <c r="L4" s="5"/>
    </row>
    <row r="5" spans="2:25" x14ac:dyDescent="0.25">
      <c r="B5" s="2" t="s">
        <v>4</v>
      </c>
      <c r="C5" s="1">
        <f t="shared" ref="C5:C13" ca="1" si="2">+RANDBETWEEN(40000,45000)</f>
        <v>41824</v>
      </c>
      <c r="D5" s="6">
        <f t="shared" ref="D5:D13" ca="1" si="3">+(E5*$E$2*F5*$F$2+G5*$G$2)/SUM($E$2:$G$2)</f>
        <v>7.0909090909090908</v>
      </c>
      <c r="E5" s="5">
        <f t="shared" ca="1" si="0"/>
        <v>1</v>
      </c>
      <c r="F5" s="5">
        <f t="shared" ca="1" si="1"/>
        <v>5</v>
      </c>
      <c r="G5" s="5">
        <f t="shared" ca="1" si="1"/>
        <v>1</v>
      </c>
      <c r="H5" s="5"/>
      <c r="I5" s="5"/>
      <c r="J5" s="5"/>
      <c r="K5" s="5"/>
      <c r="L5" s="5"/>
    </row>
    <row r="6" spans="2:25" x14ac:dyDescent="0.25">
      <c r="B6" s="2" t="s">
        <v>5</v>
      </c>
      <c r="C6" s="1">
        <f t="shared" ca="1" si="2"/>
        <v>41993</v>
      </c>
      <c r="D6" s="6">
        <f t="shared" ca="1" si="3"/>
        <v>6.8181818181818183</v>
      </c>
      <c r="E6" s="5">
        <f t="shared" ca="1" si="0"/>
        <v>4</v>
      </c>
      <c r="F6" s="5">
        <f t="shared" ca="1" si="1"/>
        <v>1</v>
      </c>
      <c r="G6" s="5">
        <f t="shared" ca="1" si="1"/>
        <v>5</v>
      </c>
      <c r="H6" s="5"/>
      <c r="I6" s="5"/>
      <c r="J6" s="5"/>
      <c r="K6" s="5"/>
      <c r="L6" s="5"/>
    </row>
    <row r="7" spans="2:25" x14ac:dyDescent="0.25">
      <c r="B7" s="2" t="s">
        <v>6</v>
      </c>
      <c r="C7" s="1">
        <f t="shared" ca="1" si="2"/>
        <v>42841</v>
      </c>
      <c r="D7" s="6">
        <f t="shared" ca="1" si="3"/>
        <v>27.545454545454547</v>
      </c>
      <c r="E7" s="5">
        <f t="shared" ca="1" si="0"/>
        <v>4</v>
      </c>
      <c r="F7" s="5">
        <f t="shared" ca="1" si="1"/>
        <v>5</v>
      </c>
      <c r="G7" s="5">
        <f t="shared" ca="1" si="1"/>
        <v>1</v>
      </c>
      <c r="H7" s="5"/>
      <c r="I7" s="5"/>
      <c r="J7" s="5"/>
      <c r="K7" s="5"/>
      <c r="L7" s="5"/>
    </row>
    <row r="8" spans="2:25" x14ac:dyDescent="0.25">
      <c r="B8" s="2" t="s">
        <v>7</v>
      </c>
      <c r="C8" s="1">
        <f t="shared" ca="1" si="2"/>
        <v>44878</v>
      </c>
      <c r="D8" s="6">
        <f t="shared" ca="1" si="3"/>
        <v>3</v>
      </c>
      <c r="E8" s="5">
        <f t="shared" ca="1" si="0"/>
        <v>2</v>
      </c>
      <c r="F8" s="5">
        <f t="shared" ca="1" si="1"/>
        <v>1</v>
      </c>
      <c r="G8" s="5">
        <f t="shared" ca="1" si="1"/>
        <v>1</v>
      </c>
      <c r="H8" s="5"/>
      <c r="I8" s="5"/>
      <c r="J8" s="5"/>
      <c r="K8" s="5"/>
      <c r="L8" s="5"/>
    </row>
    <row r="9" spans="2:25" x14ac:dyDescent="0.25">
      <c r="B9" s="2" t="s">
        <v>8</v>
      </c>
      <c r="C9" s="1">
        <f t="shared" ca="1" si="2"/>
        <v>40967</v>
      </c>
      <c r="D9" s="6">
        <f t="shared" ca="1" si="3"/>
        <v>5.4545454545454541</v>
      </c>
      <c r="E9" s="5">
        <f t="shared" ca="1" si="0"/>
        <v>3</v>
      </c>
      <c r="F9" s="5">
        <f t="shared" ca="1" si="1"/>
        <v>1</v>
      </c>
      <c r="G9" s="5">
        <f t="shared" ca="1" si="1"/>
        <v>5</v>
      </c>
      <c r="H9" s="5"/>
      <c r="I9" s="5"/>
      <c r="J9" s="5"/>
      <c r="K9" s="5"/>
      <c r="L9" s="5"/>
    </row>
    <row r="10" spans="2:25" x14ac:dyDescent="0.25">
      <c r="B10" s="2" t="s">
        <v>9</v>
      </c>
      <c r="C10" s="1">
        <f t="shared" ca="1" si="2"/>
        <v>42724</v>
      </c>
      <c r="D10" s="6">
        <f t="shared" ca="1" si="3"/>
        <v>15</v>
      </c>
      <c r="E10" s="5">
        <f t="shared" ca="1" si="0"/>
        <v>2</v>
      </c>
      <c r="F10" s="5">
        <f t="shared" ca="1" si="1"/>
        <v>5</v>
      </c>
      <c r="G10" s="5">
        <f t="shared" ca="1" si="1"/>
        <v>5</v>
      </c>
      <c r="H10" s="5"/>
      <c r="I10" s="5"/>
      <c r="J10" s="5"/>
      <c r="K10" s="5"/>
      <c r="L10" s="5"/>
    </row>
    <row r="11" spans="2:25" x14ac:dyDescent="0.25">
      <c r="B11" s="2" t="s">
        <v>10</v>
      </c>
      <c r="C11" s="1">
        <f t="shared" ca="1" si="2"/>
        <v>44961</v>
      </c>
      <c r="D11" s="6">
        <f t="shared" ca="1" si="3"/>
        <v>13.909090909090908</v>
      </c>
      <c r="E11" s="5">
        <f t="shared" ca="1" si="0"/>
        <v>2</v>
      </c>
      <c r="F11" s="5">
        <f t="shared" ca="1" si="1"/>
        <v>5</v>
      </c>
      <c r="G11" s="5">
        <f t="shared" ca="1" si="1"/>
        <v>1</v>
      </c>
      <c r="H11" s="5"/>
      <c r="I11" s="5"/>
      <c r="J11" s="5"/>
      <c r="K11" s="5"/>
      <c r="L11" s="5"/>
    </row>
    <row r="12" spans="2:25" x14ac:dyDescent="0.25">
      <c r="B12" s="2" t="s">
        <v>11</v>
      </c>
      <c r="C12" s="1">
        <f t="shared" ca="1" si="2"/>
        <v>43742</v>
      </c>
      <c r="D12" s="6">
        <f t="shared" ca="1" si="3"/>
        <v>6.8181818181818183</v>
      </c>
      <c r="E12" s="5">
        <f t="shared" ca="1" si="0"/>
        <v>4</v>
      </c>
      <c r="F12" s="5">
        <f t="shared" ca="1" si="1"/>
        <v>1</v>
      </c>
      <c r="G12" s="5">
        <f t="shared" ca="1" si="1"/>
        <v>5</v>
      </c>
      <c r="H12" s="5"/>
      <c r="I12" s="5"/>
      <c r="J12" s="5"/>
      <c r="K12" s="5"/>
      <c r="L12" s="5"/>
    </row>
    <row r="13" spans="2:25" x14ac:dyDescent="0.25">
      <c r="B13" s="2" t="s">
        <v>12</v>
      </c>
      <c r="C13" s="1">
        <f t="shared" ca="1" si="2"/>
        <v>41720</v>
      </c>
      <c r="D13" s="6">
        <f t="shared" ca="1" si="3"/>
        <v>6.8181818181818183</v>
      </c>
      <c r="E13" s="5">
        <f t="shared" ca="1" si="0"/>
        <v>4</v>
      </c>
      <c r="F13" s="5">
        <f t="shared" ca="1" si="1"/>
        <v>1</v>
      </c>
      <c r="G13" s="5">
        <f t="shared" ca="1" si="1"/>
        <v>5</v>
      </c>
      <c r="H13" s="5"/>
      <c r="I13" s="5"/>
      <c r="J13" s="5"/>
      <c r="K13" s="5"/>
      <c r="L13" s="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ABCFE-D6FE-4C85-AFA9-E1EA2C9450DA}">
  <dimension ref="B2:Y13"/>
  <sheetViews>
    <sheetView zoomScale="130" zoomScaleNormal="130" workbookViewId="0">
      <selection activeCell="E12" sqref="E12"/>
    </sheetView>
  </sheetViews>
  <sheetFormatPr baseColWidth="10" defaultRowHeight="15" x14ac:dyDescent="0.25"/>
  <cols>
    <col min="1" max="1" width="3.7109375" customWidth="1"/>
    <col min="2" max="7" width="13.7109375" customWidth="1"/>
    <col min="8" max="8" width="6.5703125" bestFit="1" customWidth="1"/>
    <col min="9" max="9" width="5.5703125" bestFit="1" customWidth="1"/>
    <col min="10" max="10" width="5.7109375" bestFit="1" customWidth="1"/>
    <col min="11" max="11" width="5.5703125" bestFit="1" customWidth="1"/>
    <col min="12" max="12" width="5.28515625" bestFit="1" customWidth="1"/>
  </cols>
  <sheetData>
    <row r="2" spans="2:25" x14ac:dyDescent="0.25">
      <c r="D2">
        <v>1</v>
      </c>
      <c r="E2">
        <v>5</v>
      </c>
      <c r="F2">
        <v>3</v>
      </c>
    </row>
    <row r="3" spans="2:25" x14ac:dyDescent="0.25">
      <c r="B3" s="2" t="s">
        <v>0</v>
      </c>
      <c r="C3" s="2" t="s">
        <v>1</v>
      </c>
      <c r="D3" s="2" t="s">
        <v>43</v>
      </c>
      <c r="E3" s="2" t="s">
        <v>27</v>
      </c>
      <c r="F3" s="2" t="s">
        <v>44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2:25" x14ac:dyDescent="0.25">
      <c r="B4" s="2" t="s">
        <v>3</v>
      </c>
      <c r="C4" s="1">
        <f ca="1">+RANDBETWEEN(40000,45000)</f>
        <v>40116</v>
      </c>
      <c r="D4" s="6">
        <f ca="1">+(E4*$E$2*F4*$F$2)/SUM($E$2:$F$2)</f>
        <v>46.875</v>
      </c>
      <c r="E4" s="5">
        <f t="shared" ref="E4:F13" ca="1" si="0">+POWER(5,RANDBETWEEN(1,2)-1)</f>
        <v>5</v>
      </c>
      <c r="F4" s="5">
        <f t="shared" ca="1" si="0"/>
        <v>5</v>
      </c>
      <c r="G4" s="5"/>
      <c r="H4" s="5"/>
      <c r="I4" s="5"/>
      <c r="J4" s="5"/>
      <c r="K4" s="5"/>
      <c r="L4" s="5"/>
    </row>
    <row r="5" spans="2:25" x14ac:dyDescent="0.25">
      <c r="B5" s="2" t="s">
        <v>4</v>
      </c>
      <c r="C5" s="1">
        <f t="shared" ref="C5:C13" ca="1" si="1">+RANDBETWEEN(40000,45000)</f>
        <v>40401</v>
      </c>
      <c r="D5" s="6">
        <f t="shared" ref="D5:D13" ca="1" si="2">+(E5*$E$2*F5*$F$2)/SUM($E$2:$F$2)</f>
        <v>9.375</v>
      </c>
      <c r="E5" s="5">
        <f t="shared" ca="1" si="0"/>
        <v>1</v>
      </c>
      <c r="F5" s="5">
        <f t="shared" ca="1" si="0"/>
        <v>5</v>
      </c>
      <c r="G5" s="5"/>
      <c r="H5" s="5"/>
      <c r="I5" s="5"/>
      <c r="J5" s="5"/>
      <c r="K5" s="5"/>
      <c r="L5" s="5"/>
    </row>
    <row r="6" spans="2:25" x14ac:dyDescent="0.25">
      <c r="B6" s="2" t="s">
        <v>5</v>
      </c>
      <c r="C6" s="1">
        <f t="shared" ca="1" si="1"/>
        <v>40341</v>
      </c>
      <c r="D6" s="6">
        <f t="shared" ca="1" si="2"/>
        <v>1.875</v>
      </c>
      <c r="E6" s="5">
        <f t="shared" ca="1" si="0"/>
        <v>1</v>
      </c>
      <c r="F6" s="5">
        <f t="shared" ca="1" si="0"/>
        <v>1</v>
      </c>
      <c r="G6" s="5"/>
      <c r="H6" s="5"/>
      <c r="I6" s="5"/>
      <c r="J6" s="5"/>
      <c r="K6" s="5"/>
      <c r="L6" s="5"/>
    </row>
    <row r="7" spans="2:25" x14ac:dyDescent="0.25">
      <c r="B7" s="2" t="s">
        <v>6</v>
      </c>
      <c r="C7" s="1">
        <f t="shared" ca="1" si="1"/>
        <v>41871</v>
      </c>
      <c r="D7" s="6">
        <f t="shared" ca="1" si="2"/>
        <v>1.875</v>
      </c>
      <c r="E7" s="5">
        <f t="shared" ca="1" si="0"/>
        <v>1</v>
      </c>
      <c r="F7" s="5">
        <f t="shared" ca="1" si="0"/>
        <v>1</v>
      </c>
      <c r="G7" s="5"/>
      <c r="H7" s="5"/>
      <c r="I7" s="5"/>
      <c r="J7" s="5"/>
      <c r="K7" s="5"/>
      <c r="L7" s="5"/>
    </row>
    <row r="8" spans="2:25" x14ac:dyDescent="0.25">
      <c r="B8" s="2" t="s">
        <v>7</v>
      </c>
      <c r="C8" s="1">
        <f t="shared" ca="1" si="1"/>
        <v>42266</v>
      </c>
      <c r="D8" s="6">
        <f t="shared" ca="1" si="2"/>
        <v>9.375</v>
      </c>
      <c r="E8" s="5">
        <f t="shared" ca="1" si="0"/>
        <v>1</v>
      </c>
      <c r="F8" s="5">
        <f t="shared" ca="1" si="0"/>
        <v>5</v>
      </c>
      <c r="G8" s="5"/>
      <c r="H8" s="5"/>
      <c r="I8" s="5"/>
      <c r="J8" s="5"/>
      <c r="K8" s="5"/>
      <c r="L8" s="5"/>
    </row>
    <row r="9" spans="2:25" x14ac:dyDescent="0.25">
      <c r="B9" s="2" t="s">
        <v>8</v>
      </c>
      <c r="C9" s="1">
        <f t="shared" ca="1" si="1"/>
        <v>43367</v>
      </c>
      <c r="D9" s="6">
        <f t="shared" ca="1" si="2"/>
        <v>9.375</v>
      </c>
      <c r="E9" s="5">
        <f t="shared" ca="1" si="0"/>
        <v>5</v>
      </c>
      <c r="F9" s="5">
        <f t="shared" ca="1" si="0"/>
        <v>1</v>
      </c>
      <c r="G9" s="5"/>
      <c r="H9" s="5"/>
      <c r="I9" s="5"/>
      <c r="J9" s="5"/>
      <c r="K9" s="5"/>
      <c r="L9" s="5"/>
    </row>
    <row r="10" spans="2:25" x14ac:dyDescent="0.25">
      <c r="B10" s="2" t="s">
        <v>9</v>
      </c>
      <c r="C10" s="1">
        <f t="shared" ca="1" si="1"/>
        <v>40560</v>
      </c>
      <c r="D10" s="6">
        <f t="shared" ca="1" si="2"/>
        <v>1.875</v>
      </c>
      <c r="E10" s="5">
        <f t="shared" ca="1" si="0"/>
        <v>1</v>
      </c>
      <c r="F10" s="5">
        <f t="shared" ca="1" si="0"/>
        <v>1</v>
      </c>
      <c r="G10" s="5"/>
      <c r="H10" s="5"/>
      <c r="I10" s="5"/>
      <c r="J10" s="5"/>
      <c r="K10" s="5"/>
      <c r="L10" s="5"/>
    </row>
    <row r="11" spans="2:25" x14ac:dyDescent="0.25">
      <c r="B11" s="2" t="s">
        <v>10</v>
      </c>
      <c r="C11" s="1">
        <f t="shared" ca="1" si="1"/>
        <v>41960</v>
      </c>
      <c r="D11" s="6">
        <f t="shared" ca="1" si="2"/>
        <v>1.875</v>
      </c>
      <c r="E11" s="5">
        <f t="shared" ca="1" si="0"/>
        <v>1</v>
      </c>
      <c r="F11" s="5">
        <f t="shared" ca="1" si="0"/>
        <v>1</v>
      </c>
      <c r="G11" s="5"/>
      <c r="H11" s="5"/>
      <c r="I11" s="5"/>
      <c r="J11" s="5"/>
      <c r="K11" s="5"/>
      <c r="L11" s="5"/>
    </row>
    <row r="12" spans="2:25" x14ac:dyDescent="0.25">
      <c r="B12" s="2" t="s">
        <v>11</v>
      </c>
      <c r="C12" s="1">
        <f t="shared" ca="1" si="1"/>
        <v>43487</v>
      </c>
      <c r="D12" s="6">
        <f t="shared" ca="1" si="2"/>
        <v>9.375</v>
      </c>
      <c r="E12" s="5">
        <f t="shared" ca="1" si="0"/>
        <v>1</v>
      </c>
      <c r="F12" s="5">
        <f t="shared" ca="1" si="0"/>
        <v>5</v>
      </c>
      <c r="G12" s="5"/>
      <c r="H12" s="5"/>
      <c r="I12" s="5"/>
      <c r="J12" s="5"/>
      <c r="K12" s="5"/>
      <c r="L12" s="5"/>
    </row>
    <row r="13" spans="2:25" x14ac:dyDescent="0.25">
      <c r="B13" s="2" t="s">
        <v>12</v>
      </c>
      <c r="C13" s="1">
        <f t="shared" ca="1" si="1"/>
        <v>41861</v>
      </c>
      <c r="D13" s="6">
        <f t="shared" ca="1" si="2"/>
        <v>1.875</v>
      </c>
      <c r="E13" s="5">
        <f t="shared" ca="1" si="0"/>
        <v>1</v>
      </c>
      <c r="F13" s="5">
        <f t="shared" ca="1" si="0"/>
        <v>1</v>
      </c>
      <c r="G13" s="5"/>
      <c r="H13" s="5"/>
      <c r="I13" s="5"/>
      <c r="J13" s="5"/>
      <c r="K13" s="5"/>
      <c r="L13" s="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D1C0B-CC6B-417D-BFE4-D41E9238DE4B}">
  <dimension ref="B2:Y13"/>
  <sheetViews>
    <sheetView zoomScale="130" zoomScaleNormal="130" workbookViewId="0">
      <selection activeCell="E21" sqref="E21"/>
    </sheetView>
  </sheetViews>
  <sheetFormatPr baseColWidth="10" defaultRowHeight="15" x14ac:dyDescent="0.25"/>
  <cols>
    <col min="1" max="1" width="3.7109375" customWidth="1"/>
    <col min="2" max="9" width="13.7109375" customWidth="1"/>
    <col min="10" max="10" width="5.7109375" bestFit="1" customWidth="1"/>
    <col min="11" max="11" width="5.5703125" bestFit="1" customWidth="1"/>
    <col min="12" max="12" width="5.28515625" bestFit="1" customWidth="1"/>
  </cols>
  <sheetData>
    <row r="2" spans="2:25" x14ac:dyDescent="0.25">
      <c r="D2">
        <v>1</v>
      </c>
      <c r="E2">
        <v>4</v>
      </c>
      <c r="F2">
        <v>2</v>
      </c>
      <c r="G2">
        <v>5</v>
      </c>
      <c r="H2">
        <v>3</v>
      </c>
      <c r="I2">
        <v>3</v>
      </c>
    </row>
    <row r="3" spans="2:25" x14ac:dyDescent="0.25">
      <c r="B3" s="2" t="s">
        <v>0</v>
      </c>
      <c r="C3" s="2" t="s">
        <v>1</v>
      </c>
      <c r="D3" s="2" t="s">
        <v>45</v>
      </c>
      <c r="E3" s="2" t="s">
        <v>46</v>
      </c>
      <c r="F3" s="2" t="s">
        <v>47</v>
      </c>
      <c r="G3" s="2" t="s">
        <v>48</v>
      </c>
      <c r="H3" s="2" t="s">
        <v>49</v>
      </c>
      <c r="I3" s="2" t="s">
        <v>50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2:25" x14ac:dyDescent="0.25">
      <c r="B4" s="2" t="s">
        <v>3</v>
      </c>
      <c r="C4" s="1">
        <f ca="1">+RANDBETWEEN(40000,45000)</f>
        <v>41120</v>
      </c>
      <c r="D4" s="6">
        <f ca="1">+(E4*$E$2*F4*$F$2+G4*$G$2+H4*$H$2+I4*$I$2)/SUM($E$2:$I$2)</f>
        <v>4.882352941176471</v>
      </c>
      <c r="E4" s="5">
        <f t="shared" ref="E4:G13" ca="1" si="0">2*RANDBETWEEN(1,3)-1</f>
        <v>5</v>
      </c>
      <c r="F4" s="5">
        <f t="shared" ref="F4:I13" ca="1" si="1">+POWER(5,RANDBETWEEN(1,2)-1)</f>
        <v>1</v>
      </c>
      <c r="G4" s="5">
        <f t="shared" ca="1" si="0"/>
        <v>5</v>
      </c>
      <c r="H4" s="5">
        <f t="shared" ca="1" si="1"/>
        <v>5</v>
      </c>
      <c r="I4" s="5">
        <f t="shared" ca="1" si="1"/>
        <v>1</v>
      </c>
      <c r="J4" s="5"/>
      <c r="K4" s="5"/>
      <c r="L4" s="5"/>
    </row>
    <row r="5" spans="2:25" x14ac:dyDescent="0.25">
      <c r="B5" s="2" t="s">
        <v>4</v>
      </c>
      <c r="C5" s="1">
        <f t="shared" ref="C5:C13" ca="1" si="2">+RANDBETWEEN(40000,45000)</f>
        <v>43753</v>
      </c>
      <c r="D5" s="6">
        <f t="shared" ref="D5:D13" ca="1" si="3">+(E5*$E$2*F5*$F$2+G5*$G$2+H5*$H$2+I5*$I$2)/SUM($E$2:$I$2)</f>
        <v>2.6470588235294117</v>
      </c>
      <c r="E5" s="5">
        <f t="shared" ca="1" si="0"/>
        <v>3</v>
      </c>
      <c r="F5" s="5">
        <f t="shared" ca="1" si="1"/>
        <v>1</v>
      </c>
      <c r="G5" s="5">
        <f t="shared" ca="1" si="0"/>
        <v>3</v>
      </c>
      <c r="H5" s="5">
        <f t="shared" ca="1" si="1"/>
        <v>1</v>
      </c>
      <c r="I5" s="5">
        <f t="shared" ca="1" si="1"/>
        <v>1</v>
      </c>
      <c r="J5" s="5"/>
      <c r="K5" s="5"/>
      <c r="L5" s="5"/>
    </row>
    <row r="6" spans="2:25" x14ac:dyDescent="0.25">
      <c r="B6" s="2" t="s">
        <v>5</v>
      </c>
      <c r="C6" s="1">
        <f t="shared" ca="1" si="2"/>
        <v>42149</v>
      </c>
      <c r="D6" s="6">
        <f t="shared" ca="1" si="3"/>
        <v>4.6470588235294121</v>
      </c>
      <c r="E6" s="5">
        <f t="shared" ca="1" si="0"/>
        <v>3</v>
      </c>
      <c r="F6" s="5">
        <f t="shared" ca="1" si="1"/>
        <v>1</v>
      </c>
      <c r="G6" s="5">
        <f t="shared" ca="1" si="0"/>
        <v>5</v>
      </c>
      <c r="H6" s="5">
        <f t="shared" ca="1" si="1"/>
        <v>5</v>
      </c>
      <c r="I6" s="5">
        <f t="shared" ca="1" si="1"/>
        <v>5</v>
      </c>
      <c r="J6" s="5"/>
      <c r="K6" s="5"/>
      <c r="L6" s="5"/>
    </row>
    <row r="7" spans="2:25" x14ac:dyDescent="0.25">
      <c r="B7" s="2" t="s">
        <v>6</v>
      </c>
      <c r="C7" s="1">
        <f t="shared" ca="1" si="2"/>
        <v>44079</v>
      </c>
      <c r="D7" s="6">
        <f t="shared" ca="1" si="3"/>
        <v>8.2941176470588243</v>
      </c>
      <c r="E7" s="5">
        <f t="shared" ca="1" si="0"/>
        <v>3</v>
      </c>
      <c r="F7" s="5">
        <f t="shared" ca="1" si="1"/>
        <v>5</v>
      </c>
      <c r="G7" s="5">
        <f t="shared" ca="1" si="0"/>
        <v>3</v>
      </c>
      <c r="H7" s="5">
        <f t="shared" ca="1" si="1"/>
        <v>1</v>
      </c>
      <c r="I7" s="5">
        <f t="shared" ca="1" si="1"/>
        <v>1</v>
      </c>
      <c r="J7" s="5"/>
      <c r="K7" s="5"/>
      <c r="L7" s="5"/>
    </row>
    <row r="8" spans="2:25" x14ac:dyDescent="0.25">
      <c r="B8" s="2" t="s">
        <v>7</v>
      </c>
      <c r="C8" s="1">
        <f t="shared" ca="1" si="2"/>
        <v>43388</v>
      </c>
      <c r="D8" s="6">
        <f t="shared" ca="1" si="3"/>
        <v>3.3529411764705883</v>
      </c>
      <c r="E8" s="5">
        <f t="shared" ca="1" si="0"/>
        <v>3</v>
      </c>
      <c r="F8" s="5">
        <f t="shared" ca="1" si="1"/>
        <v>1</v>
      </c>
      <c r="G8" s="5">
        <f t="shared" ca="1" si="0"/>
        <v>3</v>
      </c>
      <c r="H8" s="5">
        <f t="shared" ca="1" si="1"/>
        <v>5</v>
      </c>
      <c r="I8" s="5">
        <f t="shared" ca="1" si="1"/>
        <v>1</v>
      </c>
      <c r="J8" s="5"/>
      <c r="K8" s="5"/>
      <c r="L8" s="5"/>
    </row>
    <row r="9" spans="2:25" x14ac:dyDescent="0.25">
      <c r="B9" s="2" t="s">
        <v>8</v>
      </c>
      <c r="C9" s="1">
        <f t="shared" ca="1" si="2"/>
        <v>43080</v>
      </c>
      <c r="D9" s="6">
        <f t="shared" ca="1" si="3"/>
        <v>1.8235294117647058</v>
      </c>
      <c r="E9" s="5">
        <f t="shared" ca="1" si="0"/>
        <v>1</v>
      </c>
      <c r="F9" s="5">
        <f t="shared" ca="1" si="1"/>
        <v>1</v>
      </c>
      <c r="G9" s="5">
        <f t="shared" ca="1" si="0"/>
        <v>1</v>
      </c>
      <c r="H9" s="5">
        <f t="shared" ca="1" si="1"/>
        <v>5</v>
      </c>
      <c r="I9" s="5">
        <f t="shared" ca="1" si="1"/>
        <v>1</v>
      </c>
      <c r="J9" s="5"/>
      <c r="K9" s="5"/>
      <c r="L9" s="5"/>
    </row>
    <row r="10" spans="2:25" x14ac:dyDescent="0.25">
      <c r="B10" s="2" t="s">
        <v>9</v>
      </c>
      <c r="C10" s="1">
        <f t="shared" ca="1" si="2"/>
        <v>44237</v>
      </c>
      <c r="D10" s="6">
        <f t="shared" ca="1" si="3"/>
        <v>3.3529411764705883</v>
      </c>
      <c r="E10" s="5">
        <f t="shared" ca="1" si="0"/>
        <v>3</v>
      </c>
      <c r="F10" s="5">
        <f t="shared" ca="1" si="1"/>
        <v>1</v>
      </c>
      <c r="G10" s="5">
        <f t="shared" ca="1" si="0"/>
        <v>3</v>
      </c>
      <c r="H10" s="5">
        <f t="shared" ca="1" si="1"/>
        <v>5</v>
      </c>
      <c r="I10" s="5">
        <f t="shared" ca="1" si="1"/>
        <v>1</v>
      </c>
      <c r="J10" s="5"/>
      <c r="K10" s="5"/>
      <c r="L10" s="5"/>
    </row>
    <row r="11" spans="2:25" x14ac:dyDescent="0.25">
      <c r="B11" s="2" t="s">
        <v>10</v>
      </c>
      <c r="C11" s="1">
        <f t="shared" ca="1" si="2"/>
        <v>40691</v>
      </c>
      <c r="D11" s="6">
        <f t="shared" ca="1" si="3"/>
        <v>1.1176470588235294</v>
      </c>
      <c r="E11" s="5">
        <f t="shared" ca="1" si="0"/>
        <v>1</v>
      </c>
      <c r="F11" s="5">
        <f t="shared" ca="1" si="1"/>
        <v>1</v>
      </c>
      <c r="G11" s="5">
        <f t="shared" ca="1" si="0"/>
        <v>1</v>
      </c>
      <c r="H11" s="5">
        <f t="shared" ca="1" si="1"/>
        <v>1</v>
      </c>
      <c r="I11" s="5">
        <f t="shared" ca="1" si="1"/>
        <v>1</v>
      </c>
      <c r="J11" s="5"/>
      <c r="K11" s="5"/>
      <c r="L11" s="5"/>
    </row>
    <row r="12" spans="2:25" x14ac:dyDescent="0.25">
      <c r="B12" s="2" t="s">
        <v>11</v>
      </c>
      <c r="C12" s="1">
        <f t="shared" ca="1" si="2"/>
        <v>43885</v>
      </c>
      <c r="D12" s="6">
        <f t="shared" ca="1" si="3"/>
        <v>4.882352941176471</v>
      </c>
      <c r="E12" s="5">
        <f t="shared" ca="1" si="0"/>
        <v>5</v>
      </c>
      <c r="F12" s="5">
        <f t="shared" ca="1" si="1"/>
        <v>1</v>
      </c>
      <c r="G12" s="5">
        <f t="shared" ca="1" si="0"/>
        <v>5</v>
      </c>
      <c r="H12" s="5">
        <f t="shared" ca="1" si="1"/>
        <v>1</v>
      </c>
      <c r="I12" s="5">
        <f t="shared" ca="1" si="1"/>
        <v>5</v>
      </c>
      <c r="J12" s="5"/>
      <c r="K12" s="5"/>
      <c r="L12" s="5"/>
    </row>
    <row r="13" spans="2:25" x14ac:dyDescent="0.25">
      <c r="B13" s="2" t="s">
        <v>12</v>
      </c>
      <c r="C13" s="1">
        <f t="shared" ca="1" si="2"/>
        <v>44064</v>
      </c>
      <c r="D13" s="6">
        <f t="shared" ca="1" si="3"/>
        <v>2.5294117647058822</v>
      </c>
      <c r="E13" s="5">
        <f t="shared" ca="1" si="0"/>
        <v>1</v>
      </c>
      <c r="F13" s="5">
        <f t="shared" ca="1" si="1"/>
        <v>1</v>
      </c>
      <c r="G13" s="5">
        <f t="shared" ca="1" si="0"/>
        <v>1</v>
      </c>
      <c r="H13" s="5">
        <f t="shared" ca="1" si="1"/>
        <v>5</v>
      </c>
      <c r="I13" s="5">
        <f t="shared" ca="1" si="1"/>
        <v>5</v>
      </c>
      <c r="J13" s="5"/>
      <c r="K13" s="5"/>
      <c r="L1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BDTRAFOS</vt:lpstr>
      <vt:lpstr>HI</vt:lpstr>
      <vt:lpstr>HIDGA</vt:lpstr>
      <vt:lpstr>HIACE</vt:lpstr>
      <vt:lpstr>HIAIS</vt:lpstr>
      <vt:lpstr>HIARR</vt:lpstr>
      <vt:lpstr>HINUC</vt:lpstr>
      <vt:lpstr>HIOLTC</vt:lpstr>
      <vt:lpstr>HIBUS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Ticllacuri Corpus</dc:creator>
  <cp:lastModifiedBy>Marco Ticllacuri Corpus</cp:lastModifiedBy>
  <dcterms:created xsi:type="dcterms:W3CDTF">2025-09-17T20:42:01Z</dcterms:created>
  <dcterms:modified xsi:type="dcterms:W3CDTF">2025-09-17T23:05:08Z</dcterms:modified>
</cp:coreProperties>
</file>